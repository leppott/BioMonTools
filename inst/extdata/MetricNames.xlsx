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A88802A9-394E-41BA-BC9A-F8BD19AC7D9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MetricMetadata!$A$5:$N$1204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4" i="3" l="1"/>
  <c r="K1203" i="3"/>
  <c r="K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202" i="3" l="1"/>
  <c r="J1203" i="3"/>
  <c r="J1204" i="3"/>
  <c r="J1199" i="3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</commentList>
</comments>
</file>

<file path=xl/sharedStrings.xml><?xml version="1.0" encoding="utf-8"?>
<sst xmlns="http://schemas.openxmlformats.org/spreadsheetml/2006/main" count="8015" uniqueCount="2345">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</sst>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1" fillId="0" borderId="1" applyNumberFormat="0" applyFill="0" applyAlignment="0" applyProtection="0"/>
    <xf numFmtId="0" fontId="8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6" fillId="6" borderId="0" applyNumberFormat="0" applyBorder="0" applyAlignment="0" applyProtection="0"/>
  </cellStyleXfs>
  <cellXfs count="59">
    <xf numFmtId="0" fontId="0" fillId="0" borderId="0" xfId="0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1" xfId="1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10" fillId="0" borderId="0" xfId="4"/>
    <xf numFmtId="0" fontId="1" fillId="0" borderId="1" xfId="1"/>
    <xf numFmtId="0" fontId="9" fillId="0" borderId="0" xfId="3" applyAlignment="1" applyProtection="1"/>
    <xf numFmtId="14" fontId="0" fillId="0" borderId="0" xfId="0" applyNumberForma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12" fillId="0" borderId="0" xfId="0" applyFont="1"/>
    <xf numFmtId="0" fontId="8" fillId="0" borderId="3" xfId="2"/>
    <xf numFmtId="0" fontId="0" fillId="0" borderId="0" xfId="0" applyAlignment="1">
      <alignment horizontal="center"/>
    </xf>
    <xf numFmtId="0" fontId="13" fillId="4" borderId="0" xfId="5" applyFill="1" applyAlignment="1" applyProtection="1">
      <alignment horizontal="center"/>
    </xf>
    <xf numFmtId="0" fontId="9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6" fillId="6" borderId="2" xfId="6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8" fillId="0" borderId="0" xfId="0" applyFont="1"/>
    <xf numFmtId="0" fontId="16" fillId="6" borderId="0" xfId="6"/>
    <xf numFmtId="0" fontId="0" fillId="8" borderId="0" xfId="0" applyFill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0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5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20" fillId="7" borderId="2" xfId="6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rik.Leppo@tetratech.com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11"/>
  <sheetViews>
    <sheetView tabSelected="1" zoomScaleNormal="100" workbookViewId="0">
      <pane ySplit="21" topLeftCell="A109" activePane="bottomLeft" state="frozen"/>
      <selection pane="bottomLeft" activeCell="A6" sqref="A6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24">
        <v>46119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COUNTA(MetricMetadata!$H$6:$H$2025)</f>
        <v>1199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COUNTIF(MetricMetadata!$H$6:$H$2025,G7)</f>
        <v>548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COUNTIF(MetricMetadata!$H$6:$H$2025,G8)</f>
        <v>379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COUNTIF(MetricMetadata!$H$6:$H$2025,G9)</f>
        <v>253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COUNTIF(MetricMetadata!$H$6:$H$2025,G10)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COUNTIF(MetricMetadata!$H$6:$H$2025,G11)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COUNTIF(MetricMetadata!$H$6:$H$2025,G12)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1199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2" x14ac:dyDescent="0.25">
      <c r="A49" s="24">
        <v>44543</v>
      </c>
      <c r="B49" t="s">
        <v>1549</v>
      </c>
    </row>
    <row r="50" spans="1:2" x14ac:dyDescent="0.25">
      <c r="A50" s="24">
        <v>44564</v>
      </c>
      <c r="B50" t="s">
        <v>1552</v>
      </c>
    </row>
    <row r="51" spans="1:2" x14ac:dyDescent="0.25">
      <c r="B51" t="s">
        <v>1555</v>
      </c>
    </row>
    <row r="52" spans="1:2" x14ac:dyDescent="0.25">
      <c r="A52" s="24">
        <v>44593</v>
      </c>
      <c r="B52" t="s">
        <v>1573</v>
      </c>
    </row>
    <row r="53" spans="1:2" x14ac:dyDescent="0.25">
      <c r="A53" s="24">
        <v>44595</v>
      </c>
      <c r="B53" t="s">
        <v>1579</v>
      </c>
    </row>
    <row r="54" spans="1:2" x14ac:dyDescent="0.25">
      <c r="A54" s="24">
        <v>44603</v>
      </c>
      <c r="B54" t="s">
        <v>1586</v>
      </c>
    </row>
    <row r="55" spans="1:2" x14ac:dyDescent="0.25">
      <c r="A55" s="24">
        <v>44642</v>
      </c>
      <c r="B55" t="s">
        <v>1602</v>
      </c>
    </row>
    <row r="56" spans="1:2" x14ac:dyDescent="0.25">
      <c r="A56" s="24">
        <v>44648</v>
      </c>
      <c r="B56" t="s">
        <v>1622</v>
      </c>
    </row>
    <row r="57" spans="1:2" x14ac:dyDescent="0.25">
      <c r="A57" s="24">
        <v>44650</v>
      </c>
      <c r="B57" t="s">
        <v>1637</v>
      </c>
    </row>
    <row r="58" spans="1:2" x14ac:dyDescent="0.25">
      <c r="A58" s="24">
        <v>44699</v>
      </c>
      <c r="B58" t="s">
        <v>1686</v>
      </c>
    </row>
    <row r="59" spans="1:2" x14ac:dyDescent="0.25">
      <c r="A59" s="24">
        <v>44712</v>
      </c>
      <c r="B59" t="s">
        <v>1749</v>
      </c>
    </row>
    <row r="60" spans="1:2" x14ac:dyDescent="0.25">
      <c r="A60" s="24">
        <v>44721</v>
      </c>
      <c r="B60" t="s">
        <v>1751</v>
      </c>
    </row>
    <row r="61" spans="1:2" x14ac:dyDescent="0.25">
      <c r="A61" s="24">
        <v>44826</v>
      </c>
      <c r="B61" t="s">
        <v>1770</v>
      </c>
    </row>
    <row r="62" spans="1:2" x14ac:dyDescent="0.25">
      <c r="A62" s="24">
        <v>44831</v>
      </c>
      <c r="B62" t="s">
        <v>1777</v>
      </c>
    </row>
    <row r="63" spans="1:2" x14ac:dyDescent="0.25">
      <c r="A63" s="24">
        <v>44833</v>
      </c>
      <c r="B63" t="s">
        <v>1794</v>
      </c>
    </row>
    <row r="64" spans="1:2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2" x14ac:dyDescent="0.25">
      <c r="A97" s="24">
        <v>45595</v>
      </c>
      <c r="B97" t="s">
        <v>2193</v>
      </c>
    </row>
    <row r="98" spans="1:2" x14ac:dyDescent="0.25">
      <c r="A98" s="24">
        <v>45597</v>
      </c>
      <c r="B98" t="s">
        <v>2204</v>
      </c>
    </row>
    <row r="99" spans="1:2" x14ac:dyDescent="0.25">
      <c r="A99" s="24">
        <v>45601</v>
      </c>
      <c r="B99" t="s">
        <v>2207</v>
      </c>
    </row>
    <row r="100" spans="1:2" x14ac:dyDescent="0.25">
      <c r="B100" t="s">
        <v>2215</v>
      </c>
    </row>
    <row r="101" spans="1:2" x14ac:dyDescent="0.25">
      <c r="A101" s="24">
        <v>45602</v>
      </c>
      <c r="B101" t="s">
        <v>2223</v>
      </c>
    </row>
    <row r="102" spans="1:2" x14ac:dyDescent="0.25">
      <c r="B102" t="s">
        <v>2224</v>
      </c>
    </row>
    <row r="103" spans="1:2" x14ac:dyDescent="0.25">
      <c r="A103" s="24">
        <v>45603</v>
      </c>
      <c r="B103" t="s">
        <v>2237</v>
      </c>
    </row>
    <row r="104" spans="1:2" x14ac:dyDescent="0.25">
      <c r="A104" s="24">
        <v>45616</v>
      </c>
      <c r="B104" t="s">
        <v>2239</v>
      </c>
    </row>
    <row r="105" spans="1:2" x14ac:dyDescent="0.25">
      <c r="A105" s="24">
        <v>45671</v>
      </c>
      <c r="B105" t="s">
        <v>2252</v>
      </c>
    </row>
    <row r="106" spans="1:2" x14ac:dyDescent="0.25">
      <c r="A106" s="24">
        <v>45698</v>
      </c>
      <c r="B106" t="s">
        <v>2253</v>
      </c>
    </row>
    <row r="107" spans="1:2" x14ac:dyDescent="0.25">
      <c r="A107" s="24">
        <v>45820</v>
      </c>
      <c r="B107" t="s">
        <v>2292</v>
      </c>
    </row>
    <row r="108" spans="1:2" x14ac:dyDescent="0.25">
      <c r="A108" s="24">
        <v>45821</v>
      </c>
      <c r="B108" t="s">
        <v>2291</v>
      </c>
    </row>
    <row r="109" spans="1:2" x14ac:dyDescent="0.25">
      <c r="A109" s="24">
        <v>45827</v>
      </c>
      <c r="B109" t="s">
        <v>2305</v>
      </c>
    </row>
    <row r="110" spans="1:2" x14ac:dyDescent="0.25">
      <c r="A110" s="24">
        <v>46017</v>
      </c>
      <c r="B110" t="s">
        <v>2313</v>
      </c>
    </row>
    <row r="111" spans="1:2" x14ac:dyDescent="0.25">
      <c r="A111" s="24">
        <v>46017</v>
      </c>
      <c r="B111" t="s">
        <v>2344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</hyperlinks>
  <pageMargins left="0.7" right="0.7" top="0.75" bottom="0.75" header="0.3" footer="0.3"/>
  <pageSetup scale="91" orientation="portrait" r:id="rId2"/>
  <headerFooter>
    <oddHeader>&amp;C&amp;A</oddHeader>
    <oddFooter>&amp;L&amp;D&amp;CPage &amp;P of &amp;N&amp;R&amp;F</oddFooter>
  </headerFooter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25"/>
  <sheetViews>
    <sheetView zoomScaleNormal="100" workbookViewId="0">
      <pane xSplit="1" ySplit="5" topLeftCell="B1198" activePane="bottomRight" state="frozen"/>
      <selection pane="topRight" activeCell="B1" sqref="B1"/>
      <selection pane="bottomLeft" activeCell="A6" sqref="A6"/>
      <selection pane="bottomRight" activeCell="A1204" sqref="A1204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9" width="18" style="4" customWidth="1"/>
    <col min="10" max="10" width="9.140625" style="4"/>
    <col min="11" max="11" width="16" style="4" bestFit="1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46017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SUBTOTAL(3,A6:A2109)</f>
        <v>1199</v>
      </c>
      <c r="B3" s="4">
        <f>COUNTIF($B$6:$B$1001,B2)</f>
        <v>206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39" t="s">
        <v>1762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39" t="s">
        <v>1762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x14ac:dyDescent="0.25">
      <c r="A932" s="7" t="s">
        <v>1530</v>
      </c>
      <c r="B932" s="38" t="s">
        <v>1762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x14ac:dyDescent="0.25">
      <c r="A933" s="7" t="s">
        <v>1853</v>
      </c>
      <c r="B933" s="38" t="s">
        <v>1762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x14ac:dyDescent="0.25">
      <c r="A934" s="7" t="s">
        <v>1531</v>
      </c>
      <c r="B934" s="38" t="s">
        <v>1762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x14ac:dyDescent="0.25">
      <c r="A935" s="7" t="s">
        <v>1854</v>
      </c>
      <c r="B935" s="38" t="s">
        <v>1762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x14ac:dyDescent="0.25">
      <c r="A936" s="7" t="s">
        <v>1855</v>
      </c>
      <c r="B936" s="38" t="s">
        <v>1762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x14ac:dyDescent="0.25">
      <c r="A937" s="7" t="s">
        <v>1532</v>
      </c>
      <c r="B937" s="38" t="s">
        <v>1762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04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4" si="125">COUNTIF($I$6:$I$1194,I1202)</f>
        <v>0</v>
      </c>
      <c r="K1202" s="1" t="str">
        <f t="shared" ref="K1202:K1204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2025" spans="1:1" x14ac:dyDescent="0.25">
      <c r="A2025" s="52"/>
    </row>
  </sheetData>
  <autoFilter ref="A5:N1204" xr:uid="{00000000-0001-0000-0000-000000000000}"/>
  <sortState xmlns:xlrd2="http://schemas.microsoft.com/office/spreadsheetml/2017/richdata2" ref="A1004:A1011">
    <sortCondition ref="A1004:A1011"/>
  </sortState>
  <phoneticPr fontId="17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2026-04-07T20:35:49Z</dcterms:modified>
</cp:coreProperties>
</file>