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19B26921-F316-4FC3-9257-869224B43F7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MetricMetadata!$A$5:$N$1313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14" i="3" l="1"/>
  <c r="I1314" i="3"/>
  <c r="J1314" i="3" s="1"/>
  <c r="K1208" i="3"/>
  <c r="I1208" i="3"/>
  <c r="K1309" i="3"/>
  <c r="I1309" i="3"/>
  <c r="I1313" i="3"/>
  <c r="I1312" i="3"/>
  <c r="I1311" i="3"/>
  <c r="A5" i="4"/>
  <c r="K1310" i="3"/>
  <c r="I1310" i="3"/>
  <c r="K1223" i="3" l="1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222" i="3"/>
  <c r="K1222" i="3"/>
  <c r="K1221" i="3"/>
  <c r="K1220" i="3"/>
  <c r="K1219" i="3"/>
  <c r="K1218" i="3"/>
  <c r="K1217" i="3"/>
  <c r="K1216" i="3"/>
  <c r="K1215" i="3"/>
  <c r="I1221" i="3"/>
  <c r="I1220" i="3"/>
  <c r="I1219" i="3"/>
  <c r="I1218" i="3"/>
  <c r="I1217" i="3"/>
  <c r="I1216" i="3"/>
  <c r="I1215" i="3"/>
  <c r="K1205" i="3"/>
  <c r="I1205" i="3"/>
  <c r="K1214" i="3"/>
  <c r="I1214" i="3"/>
  <c r="K1213" i="3"/>
  <c r="K1212" i="3"/>
  <c r="K1211" i="3"/>
  <c r="K1210" i="3"/>
  <c r="I1213" i="3"/>
  <c r="I1212" i="3"/>
  <c r="I1211" i="3"/>
  <c r="I1210" i="3"/>
  <c r="I1209" i="3"/>
  <c r="K1209" i="3"/>
  <c r="I1207" i="3"/>
  <c r="K1207" i="3"/>
  <c r="I1206" i="3"/>
  <c r="K1206" i="3"/>
  <c r="K1204" i="3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208" i="3" l="1"/>
  <c r="J1309" i="3"/>
  <c r="J1311" i="3"/>
  <c r="J1312" i="3"/>
  <c r="J1313" i="3"/>
  <c r="J1310" i="3"/>
  <c r="J1205" i="3"/>
  <c r="J1214" i="3"/>
  <c r="J1209" i="3"/>
  <c r="J1207" i="3"/>
  <c r="J1206" i="3"/>
  <c r="J1202" i="3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12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12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13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sharedStrings.xml><?xml version="1.0" encoding="utf-8"?>
<sst xmlns="http://schemas.openxmlformats.org/spreadsheetml/2006/main" count="8703" uniqueCount="2422">
  <si>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</si>
  <si>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</si>
  <si>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</si>
  <si>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</si>
  <si>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</si>
  <si>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</si>
  <si>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</si>
  <si>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</si>
  <si>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</si>
  <si>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</si>
  <si>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</si>
  <si>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</si>
  <si>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</si>
  <si>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</si>
  <si>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</si>
  <si>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</si>
  <si>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</si>
  <si>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</si>
  <si>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</si>
  <si>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</si>
  <si>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</si>
  <si>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</si>
  <si>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</si>
  <si>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</si>
  <si>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</si>
  <si>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</si>
  <si>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</si>
  <si>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</si>
  <si>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</si>
  <si>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</si>
  <si>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</si>
  <si>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</si>
  <si>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</si>
  <si>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</si>
  <si>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</si>
  <si>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</si>
  <si>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</si>
  <si>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</si>
  <si>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</si>
  <si>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</si>
  <si>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</si>
  <si>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</si>
  <si>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</si>
  <si>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</si>
  <si>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</si>
  <si>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</si>
  <si>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</si>
  <si>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</si>
  <si>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</si>
  <si>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</si>
  <si>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</si>
  <si>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</si>
  <si>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</si>
  <si>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</si>
  <si>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</si>
  <si>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</si>
  <si>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</si>
  <si>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</si>
  <si>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</si>
  <si>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</si>
  <si>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</si>
  <si>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</si>
  <si>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</si>
  <si>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</si>
  <si>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</si>
  <si>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</si>
  <si>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</si>
  <si>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</si>
  <si>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</si>
  <si>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</si>
  <si>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</si>
  <si>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</si>
  <si>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</si>
  <si>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</si>
  <si>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</si>
  <si>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</si>
  <si>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</si>
  <si>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</si>
  <si>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</si>
  <si>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</si>
  <si>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</si>
  <si>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</si>
  <si>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</si>
  <si>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</si>
  <si>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</si>
  <si>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</si>
  <si>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</si>
  <si>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</si>
  <si>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</si>
  <si>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</si>
  <si>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</si>
  <si>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</si>
  <si>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</si>
  <si>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</si>
  <si>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</si>
  <si>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</si>
  <si>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</si>
  <si>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</si>
  <si>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</si>
  <si>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</si>
  <si>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</si>
  <si>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</si>
  <si>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</si>
  <si>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</si>
  <si>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</si>
  <si>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</si>
  <si>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</si>
  <si>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</si>
  <si>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</si>
  <si>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</si>
  <si>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</si>
  <si>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</si>
  <si>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</si>
  <si>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</si>
  <si>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</si>
  <si>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</si>
  <si>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</si>
  <si>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</si>
  <si>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</si>
  <si>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</si>
  <si>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</si>
  <si>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</si>
  <si>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</si>
  <si>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</si>
  <si>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</si>
  <si>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</si>
  <si>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</si>
  <si>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</si>
  <si>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</si>
  <si>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</si>
  <si>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</si>
  <si>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</si>
  <si>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</si>
  <si>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</si>
  <si>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</si>
  <si>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</si>
  <si>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</si>
  <si>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</si>
  <si>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</si>
  <si>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</si>
  <si>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</si>
  <si>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</si>
  <si>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</si>
  <si>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</si>
  <si>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</si>
  <si>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</si>
  <si>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</si>
  <si>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</si>
  <si>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</si>
  <si>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</si>
  <si>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</si>
  <si>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</si>
  <si>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</si>
  <si>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</si>
  <si>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</si>
  <si>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</si>
  <si>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</si>
  <si>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</si>
  <si>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</si>
  <si>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</si>
  <si>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</si>
  <si>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</si>
  <si>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</si>
  <si>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</si>
  <si>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</si>
  <si>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</si>
  <si>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</si>
  <si>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</si>
  <si>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</si>
  <si>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</si>
  <si>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</si>
  <si>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</si>
  <si>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</si>
  <si>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</si>
  <si>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</si>
  <si>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</si>
  <si>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</si>
  <si>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</si>
  <si>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</si>
  <si>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</si>
  <si>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</si>
  <si>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</si>
  <si>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</si>
  <si>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</si>
  <si>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</si>
  <si>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</si>
  <si>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</si>
  <si>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</si>
  <si>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</si>
  <si>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</si>
  <si>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</si>
  <si>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</si>
  <si>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</si>
  <si>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</si>
  <si>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</si>
  <si>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</si>
  <si>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</si>
  <si>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</si>
  <si>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</si>
  <si>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</si>
  <si>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</si>
  <si>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</si>
  <si>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</si>
  <si>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</si>
  <si>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</si>
  <si>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</si>
  <si>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</si>
  <si>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</si>
  <si>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</si>
  <si>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</si>
  <si>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</si>
  <si>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</si>
  <si>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</si>
  <si>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</si>
  <si>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</si>
  <si>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</si>
  <si>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</si>
  <si>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</si>
  <si>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</si>
  <si>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</si>
  <si>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</si>
  <si>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</si>
  <si>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</si>
  <si>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</si>
  <si>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</si>
  <si>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</si>
  <si>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</si>
  <si>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</si>
  <si>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</si>
  <si>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</si>
  <si>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</si>
  <si>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</si>
  <si>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</si>
  <si>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</si>
  <si>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</si>
  <si>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</si>
  <si>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</si>
  <si>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</si>
  <si>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</si>
  <si>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</si>
  <si>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</si>
  <si>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</si>
  <si>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</si>
  <si>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</si>
  <si>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</si>
  <si>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</si>
  <si>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</si>
  <si>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</si>
  <si>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</si>
  <si>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</si>
  <si>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</si>
  <si>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</si>
  <si>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</si>
  <si>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</si>
  <si>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</si>
  <si>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</si>
  <si>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</si>
  <si>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</si>
  <si>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</si>
  <si>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</si>
  <si>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</si>
  <si>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</si>
  <si>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</si>
  <si>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</si>
  <si>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</si>
  <si>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</si>
  <si>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</si>
  <si>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</si>
  <si>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</si>
  <si>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</si>
  <si>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</si>
  <si>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</si>
  <si>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</si>
  <si>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</si>
  <si>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</si>
  <si>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</si>
  <si>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</si>
  <si>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</si>
  <si>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</si>
  <si>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</si>
  <si>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</si>
  <si>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</si>
  <si>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</si>
  <si>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</si>
  <si>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</si>
  <si>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</si>
  <si>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</si>
  <si>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</si>
  <si>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</si>
  <si>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</si>
  <si>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</si>
  <si>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</si>
  <si>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</si>
  <si>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</si>
  <si>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</si>
  <si>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</si>
  <si>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</si>
  <si>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</si>
  <si>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</si>
  <si>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</si>
  <si>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</si>
  <si>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</si>
  <si>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</si>
  <si>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</si>
  <si>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</si>
  <si>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</si>
  <si>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</si>
  <si>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</si>
  <si>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</si>
  <si>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</si>
  <si>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</si>
  <si>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</si>
  <si>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</si>
  <si>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</si>
  <si>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</si>
  <si>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</si>
  <si>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</si>
  <si>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</si>
  <si>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</si>
  <si>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</si>
  <si>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</si>
  <si>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</si>
  <si>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</si>
  <si>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</si>
  <si>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</si>
  <si>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</si>
  <si>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</si>
  <si>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</si>
  <si>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</si>
  <si>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</si>
  <si>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</si>
  <si>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</si>
  <si>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</si>
  <si>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</si>
  <si>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</si>
  <si>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</si>
  <si>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</si>
  <si>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</si>
  <si>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</si>
  <si>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</si>
  <si>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</si>
  <si>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</si>
  <si>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</si>
  <si>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</si>
  <si>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</si>
  <si>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</si>
  <si>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</si>
  <si>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</si>
  <si>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</si>
  <si>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</si>
  <si>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</si>
  <si>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</si>
  <si>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</si>
  <si>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</si>
  <si>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</si>
  <si>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</si>
  <si>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</si>
  <si>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</si>
  <si>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</si>
  <si>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</si>
  <si>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</si>
  <si>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</si>
  <si>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</si>
  <si>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</si>
  <si>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</si>
  <si>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</si>
  <si>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</si>
  <si>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</si>
  <si>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</si>
  <si>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</si>
  <si>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</si>
  <si>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</si>
  <si>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</si>
  <si>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</si>
  <si>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</si>
  <si>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</si>
  <si>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</si>
  <si>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</si>
  <si>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</si>
  <si>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</si>
  <si>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</si>
  <si>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</si>
  <si>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</si>
  <si>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</si>
  <si>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</si>
  <si>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</si>
  <si>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</si>
  <si>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</si>
  <si>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</si>
  <si>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</si>
  <si>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</si>
  <si>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</si>
  <si>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</si>
  <si>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</si>
  <si>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</si>
  <si>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</si>
  <si>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</si>
  <si>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</si>
  <si>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</si>
  <si>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</si>
  <si>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</si>
  <si>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</si>
  <si>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</si>
  <si>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</si>
  <si>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</si>
  <si>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</si>
  <si>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</si>
  <si>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</si>
  <si>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</si>
  <si>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</si>
  <si>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</si>
  <si>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</si>
  <si>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</si>
  <si>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</si>
  <si>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</si>
  <si>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</si>
  <si>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</si>
  <si>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</si>
  <si>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</si>
  <si>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</si>
  <si>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</si>
  <si>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</si>
  <si>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</si>
  <si>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</si>
  <si>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</si>
  <si>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</si>
  <si>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</si>
  <si>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</si>
  <si>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</si>
  <si>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</si>
  <si>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</si>
  <si>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</si>
  <si>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</si>
  <si>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</si>
  <si>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</si>
  <si>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</si>
  <si>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</si>
  <si>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</si>
  <si>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</si>
  <si>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</si>
  <si>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</si>
  <si>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</si>
  <si>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</si>
  <si>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</si>
  <si>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</si>
  <si>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</si>
  <si>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</si>
  <si>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</si>
  <si>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</si>
  <si>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</si>
  <si>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</si>
  <si>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</si>
  <si>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</si>
  <si>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</si>
  <si>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</si>
  <si>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</si>
  <si>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</si>
  <si>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</si>
  <si>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</si>
  <si>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</si>
  <si>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</si>
  <si>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</si>
  <si>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</si>
  <si>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</si>
  <si>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</si>
  <si>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</si>
  <si>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</si>
  <si>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</si>
  <si>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</si>
  <si>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</si>
  <si>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</si>
  <si>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</si>
  <si>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</si>
  <si>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</si>
  <si>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</si>
  <si>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</si>
  <si>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</si>
  <si>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</si>
  <si>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</si>
  <si>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</si>
  <si>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</si>
  <si>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</si>
  <si>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</si>
  <si>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</si>
  <si>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</si>
  <si>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</si>
  <si>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</si>
  <si>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</si>
  <si>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</si>
  <si>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</si>
  <si>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</si>
  <si>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</si>
  <si>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</si>
  <si>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</si>
  <si>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</si>
  <si>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</si>
  <si>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</si>
  <si>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</si>
  <si>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</si>
  <si>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</si>
  <si>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</si>
  <si>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</si>
  <si>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</si>
  <si>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</si>
  <si>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</si>
  <si>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</si>
  <si>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</si>
  <si>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</si>
  <si>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</si>
  <si>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</si>
  <si>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</si>
  <si>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</si>
  <si>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</si>
  <si>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</si>
  <si>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</si>
  <si>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</si>
  <si>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</si>
  <si>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</si>
  <si>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</si>
  <si>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</si>
  <si>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</si>
  <si>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</si>
  <si>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</si>
  <si>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</si>
  <si>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</si>
  <si>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</si>
  <si>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</si>
  <si>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</si>
  <si>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</si>
  <si>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</si>
  <si>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</si>
  <si>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</si>
  <si>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</si>
  <si>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</si>
  <si>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</si>
  <si>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</si>
  <si>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</si>
  <si>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</si>
  <si>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</si>
  <si>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</si>
  <si>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</si>
  <si>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</si>
  <si>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</si>
  <si>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</si>
  <si>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</si>
  <si>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</si>
  <si>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</si>
  <si>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</si>
  <si>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</si>
  <si>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</si>
  <si>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</si>
  <si>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</si>
  <si>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</si>
  <si>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</si>
  <si>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</si>
  <si>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</si>
  <si>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</si>
  <si>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</si>
  <si>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</si>
  <si>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</si>
  <si>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</si>
  <si>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</si>
  <si>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</si>
  <si>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</si>
  <si>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</si>
  <si>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</si>
  <si>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</si>
  <si>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</si>
  <si>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</si>
  <si>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</si>
  <si>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</si>
  <si>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</si>
  <si>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</si>
  <si>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</si>
  <si>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</si>
  <si>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</si>
  <si>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</si>
  <si>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</si>
  <si>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</si>
  <si>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</si>
  <si>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</si>
  <si>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</si>
  <si>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</si>
  <si>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</si>
  <si>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</si>
  <si>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</si>
  <si>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</si>
  <si>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</si>
  <si>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</si>
  <si>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</si>
  <si>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</si>
  <si>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</si>
  <si>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</si>
  <si>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</si>
  <si>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</si>
  <si>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</si>
  <si>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</si>
  <si>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</si>
  <si>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</si>
  <si>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</si>
  <si>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</si>
  <si>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</si>
  <si>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</si>
  <si>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</si>
  <si>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</si>
  <si>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</si>
  <si>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</si>
  <si>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</si>
  <si>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</si>
  <si>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</si>
  <si>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</si>
  <si>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</si>
  <si>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</si>
  <si>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</si>
  <si>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</si>
  <si>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</si>
  <si>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</si>
  <si>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</si>
  <si>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</si>
  <si>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</si>
  <si>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</si>
  <si>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</si>
  <si>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</si>
  <si>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</si>
  <si>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</si>
  <si>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</si>
  <si>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</si>
  <si>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</si>
  <si>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</si>
  <si>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</si>
  <si>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</si>
  <si>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</si>
  <si>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</si>
  <si>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</si>
  <si>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</si>
  <si>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</si>
  <si>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</si>
  <si>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</si>
  <si>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</si>
  <si>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</si>
  <si>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</si>
  <si>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</si>
  <si>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</si>
  <si>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</si>
  <si>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</si>
  <si>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</si>
  <si>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</si>
  <si>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</si>
  <si>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</si>
  <si>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</si>
  <si>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</si>
  <si>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</si>
  <si>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</si>
  <si>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</si>
  <si>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</si>
  <si>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</si>
  <si>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</si>
  <si>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</si>
  <si>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</si>
  <si>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</si>
  <si>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</si>
  <si>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</si>
  <si>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</si>
  <si>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</si>
  <si>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</si>
  <si>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</si>
  <si>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</si>
  <si>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</si>
  <si>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</si>
  <si>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</si>
  <si>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</si>
  <si>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</si>
  <si>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</si>
  <si>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</si>
  <si>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</si>
  <si>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</si>
  <si>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</si>
  <si>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</si>
  <si>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</si>
  <si>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</si>
  <si>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</si>
  <si>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</si>
  <si>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</si>
  <si>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</si>
  <si>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</si>
  <si>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</si>
  <si>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</si>
  <si>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</si>
  <si>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</si>
  <si>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</si>
  <si>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</si>
  <si>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</si>
  <si>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</si>
  <si>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</si>
  <si>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</si>
  <si>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</si>
  <si>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</si>
  <si>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</si>
  <si>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</si>
  <si>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</si>
  <si>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</si>
  <si>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</si>
  <si>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</si>
  <si>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</si>
  <si>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</si>
  <si>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</si>
  <si>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</si>
  <si>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</si>
  <si>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</si>
  <si>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</si>
  <si>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</si>
  <si>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</si>
  <si>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</si>
  <si>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</si>
  <si>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</si>
  <si>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</si>
  <si>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</si>
  <si>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</si>
  <si>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</si>
  <si>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</si>
  <si>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</si>
  <si>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</si>
  <si>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</si>
  <si>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</si>
  <si>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</si>
  <si>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</si>
  <si>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</si>
  <si>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</si>
  <si>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</si>
  <si>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</si>
  <si>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</si>
  <si>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</si>
  <si>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</si>
  <si>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</si>
  <si>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</si>
  <si>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</si>
  <si>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</si>
  <si>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</si>
  <si>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</si>
  <si>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</si>
  <si>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</si>
  <si>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</si>
  <si>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</si>
  <si>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</si>
  <si>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</si>
  <si>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</si>
  <si>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</si>
  <si>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</si>
  <si>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</si>
  <si>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</si>
  <si>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</si>
  <si>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</si>
  <si>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</si>
  <si>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</si>
  <si>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</si>
  <si>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</si>
  <si>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</si>
  <si>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</si>
  <si>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</si>
  <si>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</si>
  <si>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</si>
  <si>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</si>
  <si>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</si>
  <si>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</si>
  <si>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</si>
  <si>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</si>
  <si>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</si>
  <si>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</si>
  <si>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</si>
  <si>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</si>
  <si>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</si>
  <si>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</si>
  <si>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</si>
  <si>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</si>
  <si>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</si>
  <si>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</si>
  <si>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</si>
  <si>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</si>
  <si>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</si>
  <si>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</si>
  <si>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</si>
  <si>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</si>
  <si>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</si>
  <si>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</si>
  <si>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</si>
  <si>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</si>
  <si>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</si>
  <si>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</si>
  <si>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</si>
  <si>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</si>
  <si>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</si>
  <si>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</si>
  <si>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</si>
  <si>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</si>
  <si>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</si>
  <si>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</si>
  <si>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</si>
  <si>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</si>
  <si>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</si>
  <si>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</si>
  <si>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</si>
  <si>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</si>
  <si>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</si>
  <si>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</si>
  <si>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</si>
  <si>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</si>
  <si>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</si>
  <si>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</si>
  <si>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</si>
  <si>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</si>
  <si>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</si>
  <si>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</si>
  <si>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</si>
  <si>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</si>
  <si>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</si>
  <si>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</si>
  <si>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</si>
  <si>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</si>
  <si>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</si>
  <si>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</si>
  <si>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</si>
  <si>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</si>
  <si>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</si>
  <si>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</si>
  <si>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</si>
  <si>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</si>
  <si>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</si>
  <si>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</si>
  <si>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</si>
  <si>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</si>
  <si>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</si>
  <si>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</si>
  <si>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</si>
  <si>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</si>
  <si>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</si>
  <si>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</si>
  <si>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</si>
  <si>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</si>
  <si>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</si>
  <si>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</si>
  <si>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</si>
  <si>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</si>
  <si>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</si>
  <si>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</si>
  <si>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</si>
  <si>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</si>
  <si>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</si>
  <si>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</si>
  <si>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</si>
  <si>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</si>
  <si>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</si>
  <si>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</si>
  <si>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</si>
  <si>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</si>
  <si>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</si>
  <si>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</si>
  <si>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</si>
  <si>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</si>
  <si>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</si>
  <si>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</si>
  <si>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</si>
  <si>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</si>
  <si>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</si>
  <si>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</si>
  <si>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</si>
  <si>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</si>
  <si>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</si>
  <si>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</si>
  <si>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</si>
  <si>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</si>
  <si>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</si>
  <si>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</si>
  <si>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</si>
  <si>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</si>
  <si>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</si>
  <si>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</si>
  <si>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</si>
  <si>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</si>
  <si>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</si>
  <si>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</si>
  <si>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</si>
  <si>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</si>
  <si>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</si>
  <si>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</si>
  <si>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</si>
  <si>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</si>
  <si>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</si>
  <si>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</si>
  <si>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</si>
  <si>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</si>
  <si>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</si>
  <si>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</si>
  <si>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</si>
  <si>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</si>
  <si>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</si>
  <si>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</si>
  <si>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</si>
  <si>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</si>
  <si>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</si>
  <si>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</si>
  <si>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</si>
  <si>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</si>
  <si>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</si>
  <si>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</si>
  <si>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</si>
  <si>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</si>
  <si>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</si>
  <si>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</si>
  <si>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</si>
  <si>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</si>
  <si>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</si>
  <si>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</si>
  <si>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</si>
  <si>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</si>
  <si>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</si>
  <si>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</si>
  <si>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</si>
  <si>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</si>
  <si>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</si>
  <si>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</si>
  <si>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</si>
  <si>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</si>
  <si>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</si>
  <si>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</si>
  <si>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</si>
  <si>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</si>
  <si>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</si>
  <si>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</si>
  <si>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</si>
  <si>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</si>
  <si>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</si>
  <si>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</si>
  <si>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</si>
  <si>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</si>
  <si>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</si>
  <si>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</si>
  <si>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</si>
  <si>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</si>
  <si>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</si>
  <si>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</si>
  <si>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</si>
  <si>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</si>
  <si>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</si>
  <si>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</si>
  <si>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</si>
  <si>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</si>
  <si>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</si>
  <si>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</si>
  <si>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</si>
  <si>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</si>
  <si>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</si>
  <si>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</si>
  <si>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</si>
  <si>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</si>
  <si>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</si>
  <si>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</si>
  <si>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</si>
  <si>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</si>
  <si>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</si>
  <si>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</si>
  <si>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</si>
  <si>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</si>
  <si>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</si>
  <si>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</si>
  <si>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</si>
  <si>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</si>
  <si>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</si>
  <si>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</si>
  <si>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</si>
  <si>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</si>
  <si>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</si>
  <si>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</si>
  <si>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</si>
  <si>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</si>
  <si>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</si>
  <si>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</si>
  <si>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</si>
  <si>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</si>
  <si>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</si>
  <si>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</si>
  <si>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</si>
  <si>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</si>
  <si>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</si>
  <si>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</si>
  <si>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</si>
  <si>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</si>
  <si>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</si>
  <si>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</si>
  <si>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</si>
  <si>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</si>
  <si>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</si>
  <si>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</si>
  <si>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</si>
  <si>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</si>
  <si>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</si>
  <si>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</si>
  <si>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</si>
  <si>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</si>
  <si>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</si>
  <si>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</si>
  <si>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</si>
  <si>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</si>
  <si>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</si>
  <si>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</si>
  <si>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</si>
  <si>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</si>
  <si>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</si>
  <si>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</si>
  <si>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</si>
  <si>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</si>
  <si>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</si>
  <si>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</si>
  <si>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</si>
  <si>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</si>
  <si>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</si>
  <si>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</si>
  <si>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</si>
  <si>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</si>
  <si>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</si>
  <si>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</si>
  <si>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</si>
  <si>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</si>
  <si>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</si>
  <si>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</si>
  <si>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</si>
  <si>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</si>
  <si>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</si>
  <si>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</si>
  <si>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</si>
  <si>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</si>
  <si>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</si>
  <si>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</si>
  <si>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</si>
  <si>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</si>
  <si>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</si>
  <si>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</si>
  <si>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</si>
  <si>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</si>
  <si>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</si>
  <si>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</si>
  <si>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</si>
  <si>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</si>
  <si>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</si>
  <si>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</si>
  <si>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</si>
  <si>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</si>
  <si>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</si>
  <si>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</si>
  <si>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</si>
  <si>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</si>
  <si>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</si>
  <si>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</si>
  <si>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</si>
  <si>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</si>
  <si>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</si>
  <si>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</si>
  <si>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</si>
  <si>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</si>
  <si>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</si>
  <si>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</si>
  <si>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</si>
  <si>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</si>
  <si>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</si>
  <si>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</si>
  <si>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</si>
  <si>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</si>
  <si>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</si>
  <si>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</si>
  <si>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</si>
  <si>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</si>
  <si>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</si>
  <si>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</si>
  <si>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</si>
  <si>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</si>
  <si>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</si>
  <si>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</si>
  <si>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</si>
  <si>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</si>
  <si>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</si>
  <si>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</si>
  <si>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</si>
  <si>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</si>
  <si>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</si>
  <si>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</si>
  <si>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</si>
  <si>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</si>
  <si>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</si>
  <si>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</si>
  <si>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</si>
  <si>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</si>
  <si>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</si>
  <si>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</si>
  <si>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</si>
  <si>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</si>
  <si>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</si>
  <si>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</si>
  <si>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</si>
  <si>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</si>
  <si>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</si>
  <si>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</si>
  <si>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</si>
  <si>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</si>
  <si>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</si>
  <si>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</si>
  <si>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</si>
  <si>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</si>
  <si>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</si>
  <si>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</si>
  <si>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</si>
  <si>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</si>
  <si>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</si>
  <si>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</si>
  <si>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</si>
  <si>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</si>
  <si>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</si>
  <si>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</si>
  <si>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</si>
  <si>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</si>
  <si>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</si>
  <si>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</si>
  <si>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</si>
  <si>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</si>
  <si>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</si>
  <si>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</si>
  <si>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</si>
  <si>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</si>
  <si>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</si>
  <si>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</si>
  <si>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</si>
  <si>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</si>
  <si>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</si>
  <si>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</si>
  <si>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</si>
  <si>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</si>
  <si>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</si>
  <si>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</si>
  <si>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</si>
  <si>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</si>
  <si>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</si>
  <si>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</si>
  <si>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</si>
  <si>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</si>
  <si>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</si>
  <si>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</si>
  <si>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</si>
  <si>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</si>
  <si>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</si>
  <si>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</si>
  <si>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</si>
  <si>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</si>
  <si>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</si>
  <si>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</si>
  <si>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</si>
  <si>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</si>
  <si>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</si>
  <si>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</si>
  <si>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</si>
  <si>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</si>
  <si>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</si>
  <si>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</si>
  <si>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</si>
  <si>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</si>
  <si>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</si>
  <si>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</si>
  <si>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</si>
  <si>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</si>
  <si>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</si>
  <si>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</si>
  <si>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</si>
  <si>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</si>
  <si>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</si>
  <si>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</si>
  <si>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</si>
  <si>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</si>
  <si>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</si>
  <si>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</si>
  <si>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</si>
  <si>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</si>
  <si>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</si>
  <si>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</si>
  <si>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</si>
  <si>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</si>
  <si>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</si>
  <si>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</si>
  <si>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</si>
  <si>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</si>
  <si>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</si>
  <si>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</si>
  <si>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</si>
  <si>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</si>
  <si>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</si>
  <si>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</si>
  <si>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</si>
  <si>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</si>
  <si>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</si>
  <si>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</si>
  <si>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</si>
  <si>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</si>
  <si>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</si>
  <si>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</si>
  <si>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</si>
  <si>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</si>
  <si>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</si>
  <si>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</si>
  <si>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</si>
  <si>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</si>
  <si>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</si>
  <si>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</si>
  <si>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</si>
  <si>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</si>
  <si>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</si>
  <si>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</si>
  <si>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</si>
  <si>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</si>
  <si>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</si>
  <si>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</si>
  <si>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</si>
  <si>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</si>
  <si>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</si>
  <si>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</si>
  <si>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</si>
  <si>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</si>
  <si>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</si>
  <si>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</si>
  <si>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</si>
  <si>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</si>
  <si>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</si>
  <si>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</si>
  <si>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</si>
  <si>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</si>
  <si>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</si>
  <si>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</si>
  <si>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</si>
  <si>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</si>
  <si>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</si>
  <si>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</si>
  <si>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</si>
  <si>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</si>
  <si>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</si>
  <si>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</si>
  <si>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</si>
  <si>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</si>
  <si>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</si>
  <si>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</si>
  <si>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</si>
  <si>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</si>
  <si>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</si>
  <si>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</si>
  <si>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</si>
  <si>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</si>
  <si>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</si>
  <si>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</si>
  <si>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</si>
  <si>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</si>
  <si>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</si>
  <si>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</si>
  <si>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</si>
  <si>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</si>
  <si>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</si>
  <si>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</si>
  <si>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</si>
  <si>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</si>
  <si>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</si>
  <si>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</si>
  <si>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</si>
  <si>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</si>
  <si>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</si>
  <si>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</si>
  <si>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</si>
  <si>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</si>
  <si>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</si>
  <si>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</si>
  <si>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</si>
  <si>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</si>
  <si>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</si>
  <si>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</si>
  <si>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</si>
  <si>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</si>
  <si>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</si>
  <si>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</si>
  <si>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</si>
  <si>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</si>
  <si>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</si>
  <si>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</si>
  <si>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</si>
  <si>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</si>
  <si>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</si>
  <si>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</si>
  <si>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</si>
  <si>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</si>
  <si>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</si>
  <si>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</si>
  <si>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</si>
  <si>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</si>
  <si>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</si>
  <si>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</si>
  <si>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</si>
  <si>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</si>
  <si>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</si>
  <si>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</si>
  <si>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</si>
  <si>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</si>
  <si>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</si>
  <si>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</si>
  <si>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</si>
  <si>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</si>
  <si>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</si>
  <si>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</si>
  <si>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</si>
  <si>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</si>
  <si>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</si>
  <si>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</si>
  <si>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</si>
  <si>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</si>
  <si>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</si>
  <si>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</si>
  <si>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</si>
  <si>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</si>
  <si>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</si>
  <si>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</si>
  <si>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</si>
  <si>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</si>
  <si>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</si>
  <si>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</si>
  <si>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</si>
  <si>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</si>
  <si>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</si>
  <si>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</si>
  <si>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</si>
  <si>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</si>
  <si>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</si>
  <si>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</si>
  <si>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</si>
  <si>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</si>
  <si>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</si>
  <si>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</si>
  <si>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</si>
  <si>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</si>
  <si>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</si>
  <si>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</si>
  <si>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</si>
  <si>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</si>
  <si>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</si>
  <si>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</si>
  <si>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</si>
  <si>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</si>
  <si>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</si>
  <si>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</si>
  <si>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</si>
  <si>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</si>
  <si>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</si>
  <si>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</si>
  <si>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</si>
  <si>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</si>
  <si>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</si>
  <si>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</si>
  <si>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</si>
  <si>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</si>
  <si>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</si>
  <si>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</si>
  <si>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</si>
  <si>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</si>
  <si>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</si>
  <si>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</si>
  <si>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</si>
  <si>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</si>
  <si>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</si>
  <si>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</si>
  <si>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</si>
  <si>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</si>
  <si>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</si>
  <si>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</si>
  <si>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</si>
  <si>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</si>
  <si>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</si>
  <si>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</si>
  <si>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</si>
  <si>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</si>
  <si>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</si>
  <si>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</si>
  <si>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</si>
  <si>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</si>
  <si>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</si>
  <si>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</si>
  <si>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</si>
  <si>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</si>
  <si>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</si>
  <si>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</si>
  <si>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</si>
  <si>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</si>
  <si>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</si>
  <si>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</si>
  <si>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</si>
  <si>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</si>
  <si>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</si>
  <si>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</si>
  <si>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</si>
  <si>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</si>
  <si>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</si>
  <si>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</si>
  <si>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</si>
  <si>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</si>
  <si>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</si>
  <si>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</si>
  <si>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</si>
  <si>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</si>
  <si>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</si>
  <si>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</si>
  <si>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</si>
  <si>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</si>
  <si>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</si>
  <si>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</si>
  <si>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</si>
  <si>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</si>
  <si>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</si>
  <si>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</si>
  <si>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</si>
  <si>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</si>
  <si>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</si>
  <si>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</si>
  <si>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</si>
  <si>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</si>
  <si>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</si>
  <si>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</si>
  <si>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</si>
  <si>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</si>
  <si>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</si>
  <si>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</si>
  <si>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</si>
  <si>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</si>
  <si>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</si>
  <si>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</si>
  <si>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</si>
  <si>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</si>
  <si>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</si>
  <si>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</si>
  <si>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</si>
  <si>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</si>
  <si>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</si>
  <si>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</si>
  <si>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</si>
  <si>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</si>
  <si>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</si>
  <si>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</si>
  <si>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</si>
  <si>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</si>
  <si>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</si>
  <si>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</si>
  <si>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</si>
  <si>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</si>
  <si>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</si>
  <si>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</si>
  <si>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</si>
  <si>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</si>
  <si>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</si>
  <si>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</si>
  <si>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</si>
  <si>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</si>
  <si>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</si>
  <si>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</si>
  <si>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</si>
  <si>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</si>
  <si>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</si>
  <si>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</si>
  <si>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</si>
  <si>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</si>
  <si>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</si>
  <si>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</si>
  <si>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</si>
  <si>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</si>
  <si>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</si>
  <si>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</si>
  <si>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</si>
  <si>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</si>
  <si>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</si>
  <si>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</si>
  <si>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</si>
  <si>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</si>
  <si>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</si>
  <si>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</si>
  <si>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</si>
  <si>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</si>
  <si>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</si>
  <si>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</si>
  <si>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</si>
  <si>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</si>
  <si>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</si>
  <si>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</si>
  <si>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</si>
  <si>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</si>
  <si>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</si>
  <si>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</si>
  <si>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</si>
  <si>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</si>
  <si>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</si>
  <si>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</si>
  <si>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</si>
  <si>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</si>
  <si>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</si>
  <si>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</si>
  <si>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</si>
  <si>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</si>
  <si>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</si>
  <si>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</si>
  <si>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</si>
  <si>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</si>
  <si>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</si>
  <si>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</si>
  <si>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</si>
  <si>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</si>
  <si>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</si>
  <si>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</si>
  <si>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</si>
  <si>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</si>
  <si>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</si>
  <si>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</si>
  <si>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</si>
  <si>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</si>
  <si>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</si>
  <si>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</si>
  <si>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</si>
  <si>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</si>
  <si>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</si>
  <si>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</si>
  <si>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</si>
  <si>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</si>
  <si>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</si>
  <si>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</si>
  <si>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</si>
  <si>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</si>
  <si>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</si>
  <si>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</si>
  <si>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</si>
  <si>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</si>
  <si>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</si>
  <si>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</si>
  <si>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</si>
  <si>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</si>
  <si>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</si>
  <si>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</si>
  <si>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</si>
  <si>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</si>
  <si>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</si>
  <si>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</si>
  <si>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</si>
  <si>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</si>
  <si>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</si>
  <si>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</si>
  <si>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</si>
  <si>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</si>
  <si>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</si>
  <si>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</si>
  <si>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</si>
  <si>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</si>
  <si>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</si>
  <si>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</si>
  <si>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</si>
  <si>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</si>
  <si>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</si>
  <si>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</si>
  <si>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</si>
  <si>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</si>
  <si>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</si>
  <si>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</si>
  <si>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</si>
  <si>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</si>
  <si>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</si>
  <si>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</si>
  <si>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</si>
  <si>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</si>
  <si>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</si>
  <si>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</si>
  <si>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</si>
  <si>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</si>
  <si>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</si>
  <si>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</si>
  <si>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</si>
  <si>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</si>
  <si>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</si>
  <si>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</si>
  <si>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</si>
  <si>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</si>
  <si>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</si>
  <si>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</si>
  <si>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</si>
  <si>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</si>
  <si>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</si>
  <si>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</si>
  <si>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</si>
  <si>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</si>
  <si>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</si>
  <si>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</si>
  <si>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</si>
  <si>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</si>
  <si>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</si>
  <si>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</si>
  <si>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</si>
  <si>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</si>
  <si>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</si>
  <si>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</si>
  <si>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</si>
  <si>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</si>
  <si>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</si>
  <si>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</si>
  <si>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</si>
  <si>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</si>
  <si>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</si>
  <si>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</si>
  <si>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</si>
  <si>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</si>
  <si>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</si>
  <si>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</si>
  <si>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</si>
  <si>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</si>
  <si>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</si>
  <si>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</si>
  <si>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</si>
  <si>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</si>
  <si>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</si>
  <si>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</si>
  <si>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</si>
  <si>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</si>
  <si>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</si>
  <si>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</si>
  <si>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</si>
  <si>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</si>
  <si>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</si>
  <si>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</si>
  <si>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</si>
  <si>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</si>
  <si>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</si>
  <si>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</si>
  <si>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</si>
  <si>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</si>
  <si>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</si>
  <si>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</si>
  <si>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</si>
  <si>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</si>
  <si>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</si>
  <si>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</si>
  <si>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</si>
  <si>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</si>
  <si>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</si>
  <si>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</si>
  <si>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</si>
  <si>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</si>
  <si>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</si>
  <si>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</si>
  <si>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</si>
  <si>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</si>
  <si>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</si>
  <si>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</si>
  <si>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</si>
  <si>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</si>
  <si>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</si>
  <si>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</si>
  <si>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</si>
  <si>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</si>
  <si>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</si>
  <si>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</si>
  <si>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</si>
  <si>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</si>
  <si>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</si>
  <si>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</si>
  <si>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</si>
  <si>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</si>
  <si>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</si>
  <si>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</si>
  <si>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</si>
  <si>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</si>
  <si>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</si>
  <si>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</si>
  <si>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</si>
  <si>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</si>
  <si>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</si>
  <si>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</si>
  <si>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</si>
  <si>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</si>
  <si>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</si>
  <si>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</si>
  <si>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</si>
  <si>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</si>
  <si>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</si>
  <si>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</si>
  <si>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</si>
  <si>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</si>
  <si>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</si>
  <si>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</si>
  <si>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</si>
  <si>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</si>
  <si>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</si>
  <si>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</si>
  <si>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</si>
  <si>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</si>
  <si>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</si>
  <si>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</si>
  <si>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</si>
  <si>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</si>
  <si>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</si>
  <si>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</si>
  <si>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</si>
  <si>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</si>
  <si>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</si>
  <si>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</si>
  <si>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</si>
  <si>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</si>
  <si>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</si>
  <si>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</si>
  <si>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</si>
  <si>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</si>
  <si>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</si>
  <si>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</si>
  <si>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</si>
  <si>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</si>
  <si>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</si>
  <si>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</si>
  <si>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</si>
  <si>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</si>
  <si>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</si>
  <si>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</si>
  <si>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</si>
  <si>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</si>
  <si>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</si>
  <si>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</si>
  <si>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</si>
  <si>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</si>
  <si>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</si>
  <si>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</si>
  <si>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</si>
  <si>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</si>
  <si>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</si>
  <si>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</si>
  <si>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</si>
  <si>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</si>
  <si>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</si>
  <si>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</si>
  <si>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</si>
  <si>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</si>
  <si>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</si>
  <si>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</si>
  <si>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</si>
  <si>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</si>
  <si>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</si>
  <si>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</si>
  <si>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</si>
  <si>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</si>
  <si>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</si>
  <si>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</si>
  <si>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</si>
  <si>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</si>
  <si>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</si>
  <si>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</si>
  <si>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</si>
  <si>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</si>
  <si>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</si>
  <si>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</si>
  <si>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</si>
  <si>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</si>
  <si>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</si>
  <si>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</si>
  <si>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</si>
  <si>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</si>
  <si>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</si>
  <si>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</si>
  <si>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</si>
  <si>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</si>
  <si>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</si>
  <si>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</si>
  <si>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</si>
  <si>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</si>
  <si>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</si>
  <si>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</si>
  <si>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</si>
  <si>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</si>
  <si>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</si>
  <si>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</si>
  <si>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</si>
  <si>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</si>
  <si>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</si>
  <si>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</si>
  <si>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</si>
  <si>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</si>
  <si>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</si>
  <si>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</si>
  <si>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</si>
  <si>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</si>
  <si>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</si>
  <si>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</si>
  <si>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</si>
  <si>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</si>
  <si>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</si>
  <si>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</si>
  <si>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</si>
  <si>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</si>
  <si>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</si>
  <si>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</si>
  <si>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</si>
  <si>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</si>
  <si>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</si>
  <si>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</si>
  <si>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</si>
  <si>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</si>
  <si>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</si>
  <si>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</si>
  <si>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</si>
  <si>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</si>
  <si>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</si>
  <si>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</si>
  <si>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</si>
  <si>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</si>
  <si>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</si>
  <si>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</si>
  <si>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</si>
  <si>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</si>
  <si>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</si>
  <si>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</si>
  <si>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</si>
  <si>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</si>
  <si>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</si>
  <si>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</si>
  <si>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</si>
  <si>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</si>
  <si>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</si>
  <si>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</si>
  <si>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</si>
  <si>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</si>
  <si>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</si>
  <si>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</si>
  <si>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</si>
  <si>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</si>
  <si>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</si>
  <si>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</si>
  <si>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</si>
  <si>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</si>
  <si>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</si>
  <si>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</si>
  <si>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</si>
  <si>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</si>
  <si>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</si>
  <si>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</si>
  <si>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</si>
  <si>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</si>
  <si>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</si>
  <si>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</si>
  <si>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</si>
  <si>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</si>
  <si>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</si>
  <si>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</si>
  <si>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</si>
  <si>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</si>
  <si>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</si>
  <si>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</si>
  <si>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</si>
  <si>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</si>
  <si>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</si>
  <si>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</si>
  <si>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</si>
  <si>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</si>
  <si>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</si>
  <si>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</si>
  <si>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</si>
  <si>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</si>
  <si>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</si>
  <si>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</si>
  <si>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</si>
  <si>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</si>
  <si>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</si>
  <si>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</si>
  <si>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</si>
  <si>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</si>
  <si>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</si>
  <si>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</si>
  <si>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</si>
  <si>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</si>
  <si>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</si>
  <si>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</si>
  <si>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</si>
  <si>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</si>
  <si>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</si>
  <si>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</si>
  <si>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</si>
  <si>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</si>
  <si>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</si>
  <si>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</si>
  <si>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</si>
  <si>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</si>
  <si>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</si>
  <si>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</si>
  <si>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</si>
  <si>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</si>
  <si>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</si>
  <si>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</si>
  <si>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</si>
  <si>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</si>
  <si>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</si>
  <si>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</si>
  <si>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</si>
  <si>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</si>
  <si>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</si>
  <si>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</si>
  <si>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</si>
  <si>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</si>
  <si>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</si>
  <si>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</si>
  <si>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</si>
  <si>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</si>
  <si>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</si>
  <si>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</si>
  <si>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</si>
  <si>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</si>
  <si>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</si>
  <si>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</si>
  <si>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</si>
  <si>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</si>
  <si>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</si>
  <si>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</si>
  <si>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</si>
  <si>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</si>
  <si>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</si>
  <si>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</si>
  <si>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</si>
  <si>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</si>
  <si>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</si>
  <si>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</si>
  <si>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</si>
  <si>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</si>
  <si>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</si>
  <si>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</si>
  <si>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</si>
  <si>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</si>
  <si>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</si>
  <si>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</si>
  <si>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</si>
  <si>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</si>
  <si>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</si>
  <si>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</si>
  <si>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</si>
  <si>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</si>
  <si>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</si>
  <si>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</si>
  <si>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</si>
  <si>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</si>
  <si>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</si>
  <si>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</si>
  <si>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</si>
  <si>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</si>
  <si>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</si>
  <si>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</si>
  <si>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</si>
  <si>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</si>
  <si>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</si>
  <si>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</si>
  <si>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</si>
  <si>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</si>
  <si>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</si>
  <si>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</si>
  <si>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</si>
  <si>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</si>
  <si>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</si>
  <si>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</si>
  <si>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</si>
  <si>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</si>
  <si>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</si>
  <si>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</si>
  <si>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</si>
  <si>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</si>
  <si>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</si>
  <si>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</si>
  <si>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</si>
  <si>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</si>
  <si>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</si>
  <si>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</si>
  <si>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</si>
  <si>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</si>
  <si>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</si>
  <si>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</si>
  <si>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</si>
  <si>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</si>
  <si>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</si>
  <si>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</si>
  <si>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</si>
  <si>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</si>
  <si>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</si>
  <si>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</si>
  <si>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</si>
  <si>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</si>
  <si>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</si>
  <si>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</si>
  <si>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</si>
  <si>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</si>
  <si>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</si>
  <si>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</si>
  <si>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</si>
  <si>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</si>
  <si>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</si>
  <si>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</si>
  <si>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</si>
  <si>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</si>
  <si>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</si>
  <si>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</si>
  <si>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</si>
  <si>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</si>
  <si>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</si>
  <si>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</si>
  <si>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</si>
  <si>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</si>
  <si>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</si>
  <si>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</si>
  <si>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</si>
  <si>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</si>
  <si>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</si>
  <si>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</si>
  <si>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</si>
  <si>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</si>
  <si>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</si>
  <si>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</si>
  <si>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</si>
  <si>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</si>
  <si>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</si>
  <si>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</si>
  <si>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</si>
  <si>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</si>
  <si>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</si>
  <si>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</si>
  <si>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</si>
  <si>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</si>
  <si>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</si>
  <si>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</si>
  <si>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</si>
  <si>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</si>
  <si>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</si>
  <si>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</si>
  <si>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</si>
  <si>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</si>
  <si>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</si>
  <si>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</si>
  <si>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</si>
  <si>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</si>
  <si>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</si>
  <si>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</si>
  <si>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</si>
  <si>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</si>
  <si>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</si>
  <si>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</si>
  <si>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</si>
  <si>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</si>
  <si>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</si>
  <si>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</si>
  <si>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</si>
  <si>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</si>
  <si>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</si>
  <si>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</si>
  <si>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</si>
  <si>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</si>
  <si>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</si>
  <si>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</si>
  <si>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</si>
  <si>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</si>
  <si>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</si>
  <si>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</si>
  <si>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</si>
  <si>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</si>
  <si>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</si>
  <si>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</si>
  <si>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</si>
  <si>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</si>
  <si>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</si>
  <si>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</si>
  <si>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</si>
  <si>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</si>
  <si>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</si>
  <si>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</si>
  <si>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</si>
  <si>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</si>
  <si>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</si>
  <si>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</si>
  <si>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</si>
  <si>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</si>
  <si>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</si>
  <si>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</si>
  <si>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</si>
  <si>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</si>
  <si>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</si>
  <si>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</si>
  <si>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</si>
  <si>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</si>
  <si>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</si>
  <si>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</si>
  <si>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</si>
  <si>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</si>
  <si>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</si>
  <si>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</si>
  <si>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</si>
  <si>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</si>
  <si>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</si>
  <si>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</si>
  <si>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</si>
  <si>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</si>
  <si>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</si>
  <si>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</si>
  <si>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</si>
  <si>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</si>
  <si>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</si>
  <si>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</si>
  <si>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</si>
  <si>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</si>
  <si>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</si>
  <si>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</si>
  <si>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</si>
  <si>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</si>
  <si>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</si>
  <si>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</si>
  <si>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</si>
  <si>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</si>
  <si>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</si>
  <si>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</si>
  <si>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</si>
  <si>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</si>
  <si>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</si>
  <si>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</si>
  <si>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</si>
  <si>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</si>
  <si>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</si>
  <si>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</si>
  <si>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</si>
  <si>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</si>
  <si>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</si>
  <si>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</si>
  <si>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</si>
  <si>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</si>
  <si>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</si>
  <si>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</si>
  <si>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</si>
  <si>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</si>
  <si>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</si>
  <si>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</si>
  <si>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</si>
  <si>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</si>
  <si>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</si>
  <si>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</si>
  <si>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</si>
  <si>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</si>
  <si>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</si>
  <si>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</si>
  <si>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</si>
  <si>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</si>
  <si>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</si>
  <si>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</si>
  <si>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</si>
  <si>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</si>
  <si>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</si>
  <si>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</si>
  <si>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</si>
  <si>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</si>
  <si>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</si>
  <si>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</si>
  <si>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</si>
  <si>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</si>
  <si>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</si>
  <si>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</si>
  <si>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</si>
  <si>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</si>
  <si>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</si>
  <si>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</si>
  <si>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</si>
  <si>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</si>
  <si>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</si>
  <si>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</si>
  <si>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</si>
  <si>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</si>
  <si>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</si>
  <si>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</si>
  <si>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</si>
  <si>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</si>
  <si>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</si>
  <si>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</si>
  <si>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</si>
  <si>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</si>
  <si>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</si>
  <si>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</si>
  <si>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</si>
  <si>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</si>
  <si>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</si>
  <si>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</si>
  <si>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</si>
  <si>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</si>
  <si>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</si>
  <si>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</si>
  <si>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</si>
  <si>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</si>
  <si>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</si>
  <si>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</si>
  <si>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</si>
  <si>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</si>
  <si>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</si>
  <si>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</si>
  <si>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</si>
  <si>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</si>
  <si>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</si>
  <si>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</si>
  <si>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</si>
  <si>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</si>
  <si>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</si>
  <si>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</si>
  <si>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</si>
  <si>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</si>
  <si>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</si>
  <si>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</si>
  <si>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</si>
  <si>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</si>
  <si>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</si>
  <si>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</si>
  <si>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</si>
  <si>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</si>
  <si>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</si>
  <si>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</si>
  <si>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</si>
  <si>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</si>
  <si>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</si>
  <si>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</si>
  <si>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</si>
  <si>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</si>
  <si>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</si>
  <si>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</si>
  <si>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</si>
  <si>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</si>
  <si>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</si>
  <si>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</si>
  <si>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</si>
  <si>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</si>
  <si>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</si>
  <si>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</si>
  <si>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</si>
  <si>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</si>
  <si>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</si>
  <si>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</si>
  <si>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</si>
  <si>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</si>
  <si>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</si>
  <si>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</si>
  <si>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</si>
  <si>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</si>
  <si>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</si>
  <si>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</si>
  <si>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</si>
  <si>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</si>
  <si>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</si>
  <si>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</si>
  <si>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</si>
  <si>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</si>
  <si>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</si>
  <si>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</si>
  <si>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</si>
  <si>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</si>
  <si>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</si>
  <si>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</si>
  <si>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</si>
  <si>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</si>
  <si>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</si>
  <si>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</si>
  <si>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</si>
  <si>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</si>
  <si>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</si>
  <si>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</si>
  <si>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</si>
  <si>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</si>
  <si>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</si>
  <si>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</si>
  <si>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</si>
  <si>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</si>
  <si>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</si>
  <si>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</si>
  <si>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</si>
  <si>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</si>
  <si>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</si>
  <si>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</si>
  <si>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</si>
  <si>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</si>
  <si>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</si>
  <si>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</si>
  <si>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</si>
  <si>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</si>
  <si>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</si>
  <si>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</si>
  <si>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</si>
  <si>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</si>
  <si>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</si>
  <si>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</si>
  <si>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</si>
  <si>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</si>
  <si>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</si>
  <si>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</si>
  <si>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</si>
  <si>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</si>
  <si>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</si>
  <si>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</si>
  <si>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</si>
  <si>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</si>
  <si>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</si>
  <si>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</si>
  <si>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</si>
  <si>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</si>
  <si>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</si>
  <si>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</si>
  <si>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</si>
  <si>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</si>
  <si>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</si>
  <si>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</si>
  <si>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</si>
  <si>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</si>
  <si>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</si>
  <si>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</si>
  <si>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</si>
  <si>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</si>
  <si>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</si>
  <si>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</si>
  <si>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</si>
  <si>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</si>
  <si>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</si>
  <si>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</si>
  <si>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</si>
  <si>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</si>
  <si>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</si>
  <si>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</si>
  <si>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</si>
  <si>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</si>
  <si>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</si>
  <si>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</si>
  <si>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</si>
  <si>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</si>
  <si>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</si>
  <si>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</si>
  <si>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</si>
  <si>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</si>
  <si>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</si>
  <si>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</si>
  <si>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</si>
  <si>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</si>
  <si>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</si>
  <si>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</si>
  <si>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</si>
  <si>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</si>
  <si>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</si>
  <si>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</si>
  <si>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</si>
  <si>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</si>
  <si>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</si>
  <si>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</si>
  <si>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</si>
  <si>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</si>
  <si>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</si>
  <si>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</si>
  <si>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</si>
  <si>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</si>
  <si>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</si>
  <si>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</si>
  <si>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</si>
  <si>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</si>
  <si>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</si>
  <si>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</si>
  <si>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</si>
  <si>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</si>
  <si>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</si>
  <si>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</si>
  <si>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</si>
  <si>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</si>
  <si>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</si>
  <si>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</si>
  <si>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</si>
  <si>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</si>
  <si>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</si>
  <si>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</si>
  <si>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</si>
  <si>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</si>
  <si>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</si>
  <si>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</si>
  <si>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</si>
  <si>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</si>
  <si>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</si>
  <si>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</si>
  <si>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</si>
  <si>
    <t>https://github.com/leppott/BioMonTools/issues/142</t>
  </si>
  <si>
    <t>nt_EPT_BCG_att1i2</t>
  </si>
  <si>
    <t>number taxa - EPT BCG Attribute Ii + II</t>
  </si>
  <si>
    <t>pt_EPT_BCG_att1i2</t>
  </si>
  <si>
    <t>percent (0-100) taxa - EPT BCG Attribute Ii + II</t>
  </si>
  <si>
    <t>pi_EPT_BCG_att1i2</t>
  </si>
  <si>
    <t>percent (0-100) individuals - EPT BCG Attribute Ii + II</t>
  </si>
  <si>
    <t>nord_COEPT</t>
  </si>
  <si>
    <t>number of unique - orders - Order Coleoptera, Odonata, Ephemeroptera, Plecoptera or Trichoptera</t>
  </si>
  <si>
    <t>nt_COEPT</t>
  </si>
  <si>
    <t>number taxa - Orders Coleoptera, Odonata, Ephemertopera, Plecoptera and Trichoptera (COEPT)</t>
  </si>
  <si>
    <t>pi_COEPT_BCG_att1i234b4m</t>
  </si>
  <si>
    <t>percent (0-100) individuals - Orders Coleoptera, Odonata, Ephemertopera, Plecoptera and Trichoptera (COEPT) sensitive and intermediate tolerant (Attribute Ii + II + III + IV_better + IV_middle)</t>
  </si>
  <si>
    <t>nt_EPT_volt_semi</t>
  </si>
  <si>
    <t>number taxa - EPT semivoltine (SEMI)</t>
  </si>
  <si>
    <t>Life_Cycle, Order</t>
  </si>
  <si>
    <t>Additional algae metrics (BCG versions of bug metrics), Issue #142, n = 86</t>
  </si>
  <si>
    <t>Additional bug metricss, Issue #142, n = 7</t>
  </si>
  <si>
    <t>nord_EPT for BCGcalc ORWA</t>
  </si>
  <si>
    <t>nord_EPT</t>
  </si>
  <si>
    <t>number of unique - orders - Order Ephemeroptera, Plecoptera, or Trichoptera</t>
  </si>
  <si>
    <t>BCG, ORWA</t>
  </si>
  <si>
    <t>pi_dom02_BCG_att456 for ORWA Foothills_Riffle</t>
  </si>
  <si>
    <t>percent individuals, dominant 1, BCG attributes 4, 5, 6m, or 6t</t>
  </si>
  <si>
    <t>pi_dom02_BCG_att456m6t</t>
  </si>
  <si>
    <t>percent individuals, dominant 2, BCG attributes 4, 5, 6m, or 6t</t>
  </si>
  <si>
    <t>nt_NonInsTrombJuga_BCG_att456m6t</t>
  </si>
  <si>
    <t>pi_NonInsTrombJuga_BCG_att456m6t</t>
  </si>
  <si>
    <t>pt_NonInsTrombJuga_BCG_att456m6t</t>
  </si>
  <si>
    <t>number taxa - BCG Attribute 4, 5, 6m, 6t, excluding Class Insecta, Order Trombidiformes, and Genus Juga</t>
  </si>
  <si>
    <t>percent (0-100) individuals - BCG Attribute 4, 5, 6m, 6t, excluding Class Insecta, Order Trombidiformes, and Genus Juga</t>
  </si>
  <si>
    <t>percent (0-100) taxa - BCG Attribute 4, 5, 6m, 6t, excluding Class Insecta, Order Trombidiformes, and Genus Juga</t>
  </si>
  <si>
    <t>Update att 456 to att456m6t for Boise</t>
  </si>
  <si>
    <t>pi_dom01_BCG_att456m6t</t>
  </si>
  <si>
    <t>pi_dom02_BCG_att456</t>
  </si>
  <si>
    <t>percent individuals, dominant 2, BCG attributes 4, 5, or 6</t>
  </si>
  <si>
    <t>pi_dom01_BCG_att456t</t>
  </si>
  <si>
    <t>percent individuals, dominant 1, BCG attributes 4, 5, or 6t</t>
  </si>
  <si>
    <t>Add back pi_dom01_BCG_att456t and pi_dom02_BCG_att456t</t>
  </si>
  <si>
    <t>pi_dom02_BCG_att456t</t>
  </si>
  <si>
    <t>percent individuals, dominant 2, BCG attributes 4, 5, or 6t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</si>
</sst>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2" fillId="0" borderId="1" applyNumberFormat="0" applyFill="0" applyAlignment="0" applyProtection="0"/>
    <xf numFmtId="0" fontId="9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7" fillId="6" borderId="0" applyNumberFormat="0" applyBorder="0" applyAlignment="0" applyProtection="0"/>
  </cellStyleXfs>
  <cellXfs count="62">
    <xf numFmtId="0" fontId="0" fillId="0" borderId="0" xfId="0"/>
    <xf numFmtId="0" fontId="6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5" fillId="0" borderId="1" xfId="1" applyFont="1" applyAlignment="1">
      <alignment vertical="center"/>
    </xf>
    <xf numFmtId="0" fontId="4" fillId="0" borderId="0" xfId="0" applyFont="1" applyAlignment="1">
      <alignment vertical="center"/>
    </xf>
    <xf numFmtId="14" fontId="4" fillId="0" borderId="0" xfId="0" applyNumberFormat="1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5" fillId="0" borderId="1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1" fillId="0" borderId="0" xfId="4"/>
    <xf numFmtId="0" fontId="2" fillId="0" borderId="1" xfId="1"/>
    <xf numFmtId="0" fontId="10" fillId="0" borderId="0" xfId="3" applyAlignment="1" applyProtection="1"/>
    <xf numFmtId="14" fontId="0" fillId="0" borderId="0" xfId="0" applyNumberFormat="1"/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/>
    <xf numFmtId="0" fontId="9" fillId="0" borderId="3" xfId="2"/>
    <xf numFmtId="0" fontId="0" fillId="0" borderId="0" xfId="0" applyAlignment="1">
      <alignment horizontal="center"/>
    </xf>
    <xf numFmtId="0" fontId="14" fillId="4" borderId="0" xfId="5" applyFill="1" applyAlignment="1" applyProtection="1">
      <alignment horizontal="center"/>
    </xf>
    <xf numFmtId="0" fontId="10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7" fillId="6" borderId="2" xfId="6" applyBorder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9" fillId="0" borderId="0" xfId="0" applyFont="1"/>
    <xf numFmtId="0" fontId="17" fillId="6" borderId="0" xfId="6"/>
    <xf numFmtId="0" fontId="0" fillId="8" borderId="0" xfId="0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1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0" fontId="21" fillId="7" borderId="2" xfId="6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10" fillId="0" borderId="0" xfId="3"/>
    <xf numFmtId="0" fontId="1" fillId="0" borderId="0" xfId="0" applyFont="1" applyAlignment="1">
      <alignment vertical="center"/>
    </xf>
    <xf numFmtId="14" fontId="3" fillId="0" borderId="0" xfId="0" applyNumberFormat="1" applyFont="1"/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hyperlink" Target="https://github.com/leppott/BioMonTools/issues/142" TargetMode="Externa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hyperlink" Target="https://github.com/leppott/BioMonTools/issues/142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21"/>
  <sheetViews>
    <sheetView zoomScaleNormal="100" workbookViewId="0">
      <pane ySplit="21" topLeftCell="A109" activePane="bottomLeft" state="frozen"/>
      <selection pane="bottomLeft" activeCell="B122" sqref="B122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61">
        <f>MAX(A22:A301)</f>
        <v>46210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COUNTA(MetricMetadata!$H$6:$H$2023)</f>
        <v>1309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COUNTIF(MetricMetadata!$H$6:$H$2023,G7)</f>
        <v>571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COUNTIF(MetricMetadata!$H$6:$H$2023,G8)</f>
        <v>380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COUNTIF(MetricMetadata!$H$6:$H$2023,G9)</f>
        <v>339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COUNTIF(MetricMetadata!$H$6:$H$2023,G10)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COUNTIF(MetricMetadata!$H$6:$H$2023,G11)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COUNTIF(MetricMetadata!$H$6:$H$2023,G12)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1309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4">
        <v>44543</v>
      </c>
      <c r="B49" t="s">
        <v>1549</v>
      </c>
    </row>
    <row r="50" spans="1:3" x14ac:dyDescent="0.25">
      <c r="A50" s="24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4">
        <v>44593</v>
      </c>
      <c r="B52" t="s">
        <v>1573</v>
      </c>
    </row>
    <row r="53" spans="1:3" x14ac:dyDescent="0.25">
      <c r="A53" s="24">
        <v>44595</v>
      </c>
      <c r="B53" t="s">
        <v>1579</v>
      </c>
    </row>
    <row r="54" spans="1:3" x14ac:dyDescent="0.25">
      <c r="A54" s="24">
        <v>44603</v>
      </c>
      <c r="B54" t="s">
        <v>1586</v>
      </c>
    </row>
    <row r="55" spans="1:3" x14ac:dyDescent="0.25">
      <c r="A55" s="24">
        <v>44642</v>
      </c>
      <c r="B55" t="s">
        <v>1602</v>
      </c>
    </row>
    <row r="56" spans="1:3" x14ac:dyDescent="0.25">
      <c r="A56" s="24">
        <v>44648</v>
      </c>
      <c r="B56" t="s">
        <v>1622</v>
      </c>
    </row>
    <row r="57" spans="1:3" x14ac:dyDescent="0.25">
      <c r="A57" s="24">
        <v>44650</v>
      </c>
      <c r="B57" t="s">
        <v>1637</v>
      </c>
    </row>
    <row r="58" spans="1:3" x14ac:dyDescent="0.25">
      <c r="A58" s="24">
        <v>44699</v>
      </c>
      <c r="B58" t="s">
        <v>1686</v>
      </c>
    </row>
    <row r="59" spans="1:3" x14ac:dyDescent="0.25">
      <c r="A59" s="24">
        <v>44712</v>
      </c>
      <c r="B59" t="s">
        <v>1749</v>
      </c>
      <c r="C59" s="59" t="s">
        <v>2351</v>
      </c>
    </row>
    <row r="60" spans="1:3" x14ac:dyDescent="0.25">
      <c r="A60" s="24">
        <v>44721</v>
      </c>
      <c r="B60" t="s">
        <v>1751</v>
      </c>
    </row>
    <row r="61" spans="1:3" x14ac:dyDescent="0.25">
      <c r="A61" s="24">
        <v>44826</v>
      </c>
      <c r="B61" t="s">
        <v>1770</v>
      </c>
    </row>
    <row r="62" spans="1:3" x14ac:dyDescent="0.25">
      <c r="A62" s="24">
        <v>44831</v>
      </c>
      <c r="B62" t="s">
        <v>1777</v>
      </c>
      <c r="C62" s="59" t="s">
        <v>2350</v>
      </c>
    </row>
    <row r="63" spans="1:3" x14ac:dyDescent="0.25">
      <c r="A63" s="24">
        <v>44833</v>
      </c>
      <c r="B63" t="s">
        <v>1794</v>
      </c>
    </row>
    <row r="64" spans="1:3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3" x14ac:dyDescent="0.25">
      <c r="A97" s="24">
        <v>45595</v>
      </c>
      <c r="B97" t="s">
        <v>2193</v>
      </c>
    </row>
    <row r="98" spans="1:3" x14ac:dyDescent="0.25">
      <c r="A98" s="24">
        <v>45597</v>
      </c>
      <c r="B98" t="s">
        <v>2204</v>
      </c>
    </row>
    <row r="99" spans="1:3" x14ac:dyDescent="0.25">
      <c r="A99" s="24">
        <v>45601</v>
      </c>
      <c r="B99" t="s">
        <v>2207</v>
      </c>
    </row>
    <row r="100" spans="1:3" x14ac:dyDescent="0.25">
      <c r="B100" t="s">
        <v>2215</v>
      </c>
    </row>
    <row r="101" spans="1:3" x14ac:dyDescent="0.25">
      <c r="A101" s="24">
        <v>45602</v>
      </c>
      <c r="B101" t="s">
        <v>2223</v>
      </c>
    </row>
    <row r="102" spans="1:3" x14ac:dyDescent="0.25">
      <c r="B102" t="s">
        <v>2224</v>
      </c>
    </row>
    <row r="103" spans="1:3" x14ac:dyDescent="0.25">
      <c r="A103" s="24">
        <v>45603</v>
      </c>
      <c r="B103" t="s">
        <v>2237</v>
      </c>
    </row>
    <row r="104" spans="1:3" x14ac:dyDescent="0.25">
      <c r="A104" s="24">
        <v>45616</v>
      </c>
      <c r="B104" t="s">
        <v>2239</v>
      </c>
    </row>
    <row r="105" spans="1:3" x14ac:dyDescent="0.25">
      <c r="A105" s="24">
        <v>45671</v>
      </c>
      <c r="B105" t="s">
        <v>2252</v>
      </c>
    </row>
    <row r="106" spans="1:3" x14ac:dyDescent="0.25">
      <c r="A106" s="24">
        <v>45698</v>
      </c>
      <c r="B106" t="s">
        <v>2253</v>
      </c>
    </row>
    <row r="107" spans="1:3" x14ac:dyDescent="0.25">
      <c r="A107" s="24">
        <v>45820</v>
      </c>
      <c r="B107" t="s">
        <v>2292</v>
      </c>
      <c r="C107" s="59" t="s">
        <v>2347</v>
      </c>
    </row>
    <row r="108" spans="1:3" x14ac:dyDescent="0.25">
      <c r="A108" s="24">
        <v>45821</v>
      </c>
      <c r="B108" t="s">
        <v>2291</v>
      </c>
      <c r="C108" s="59" t="s">
        <v>2348</v>
      </c>
    </row>
    <row r="109" spans="1:3" x14ac:dyDescent="0.25">
      <c r="A109" s="24">
        <v>45827</v>
      </c>
      <c r="B109" t="s">
        <v>2305</v>
      </c>
      <c r="C109" s="59" t="s">
        <v>2349</v>
      </c>
    </row>
    <row r="110" spans="1:3" x14ac:dyDescent="0.25">
      <c r="A110" s="24">
        <v>46017</v>
      </c>
      <c r="B110" t="s">
        <v>2313</v>
      </c>
      <c r="C110" s="59" t="s">
        <v>2346</v>
      </c>
    </row>
    <row r="111" spans="1:3" x14ac:dyDescent="0.25">
      <c r="A111" s="24">
        <v>46017</v>
      </c>
      <c r="B111" t="s">
        <v>2344</v>
      </c>
    </row>
    <row r="112" spans="1:3" x14ac:dyDescent="0.25">
      <c r="A112" s="24">
        <v>46157</v>
      </c>
      <c r="B112" t="s">
        <v>2352</v>
      </c>
      <c r="C112" s="59" t="s">
        <v>2345</v>
      </c>
    </row>
    <row r="113" spans="1:3" x14ac:dyDescent="0.25">
      <c r="A113" s="24">
        <v>46160</v>
      </c>
      <c r="B113" t="s">
        <v>2364</v>
      </c>
    </row>
    <row r="114" spans="1:3" x14ac:dyDescent="0.25">
      <c r="B114" t="s">
        <v>2374</v>
      </c>
    </row>
    <row r="115" spans="1:3" x14ac:dyDescent="0.25">
      <c r="A115" s="24">
        <v>46161</v>
      </c>
      <c r="B115" t="s">
        <v>2380</v>
      </c>
    </row>
    <row r="116" spans="1:3" x14ac:dyDescent="0.25">
      <c r="A116" s="24">
        <v>46164</v>
      </c>
      <c r="B116" t="s">
        <v>2398</v>
      </c>
      <c r="C116" s="59" t="s">
        <v>2381</v>
      </c>
    </row>
    <row r="117" spans="1:3" x14ac:dyDescent="0.25">
      <c r="A117" s="24">
        <v>46164</v>
      </c>
      <c r="B117" t="s">
        <v>2397</v>
      </c>
      <c r="C117" s="59" t="s">
        <v>2381</v>
      </c>
    </row>
    <row r="118" spans="1:3" x14ac:dyDescent="0.25">
      <c r="A118" s="24">
        <v>46177</v>
      </c>
      <c r="B118" t="s">
        <v>2399</v>
      </c>
    </row>
    <row r="119" spans="1:3" x14ac:dyDescent="0.25">
      <c r="A119" s="24">
        <v>46182</v>
      </c>
      <c r="B119" s="60" t="s">
        <v>2403</v>
      </c>
    </row>
    <row r="120" spans="1:3" x14ac:dyDescent="0.25">
      <c r="A120" s="24">
        <v>46210</v>
      </c>
      <c r="B120" t="s">
        <v>2413</v>
      </c>
    </row>
    <row r="121" spans="1:3" x14ac:dyDescent="0.25">
      <c r="A121" s="24">
        <v>46210</v>
      </c>
      <c r="B121" t="s">
        <v>2419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  <hyperlink ref="C116" r:id="rId9" xr:uid="{B76FCC48-EF00-4AC2-A950-BB3A204B48D4}"/>
    <hyperlink ref="C117" r:id="rId10" xr:uid="{5F0C2649-67F9-4C6F-AD76-EC9D37137902}"/>
  </hyperlinks>
  <pageMargins left="0.7" right="0.7" top="0.75" bottom="0.75" header="0.3" footer="0.3"/>
  <pageSetup scale="91" orientation="portrait" r:id="rId11"/>
  <headerFooter>
    <oddHeader>&amp;C&amp;A</oddHeader>
    <oddFooter>&amp;L&amp;D&amp;CPage &amp;P of &amp;N&amp;R&amp;F</oddFooter>
  </headerFooter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 filterMode="1">
    <tabColor rgb="FF00B0F0"/>
  </sheetPr>
  <dimension ref="A1:N2023"/>
  <sheetViews>
    <sheetView tabSelected="1" zoomScale="80" zoomScaleNormal="80" workbookViewId="0">
      <pane xSplit="1" ySplit="5" topLeftCell="B176" activePane="bottomRight" state="frozen"/>
      <selection pane="topRight" activeCell="B1" sqref="B1"/>
      <selection pane="bottomLeft" activeCell="A6" sqref="A6"/>
      <selection pane="bottomRight" activeCell="B1315" sqref="B1315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8" width="18" style="4" customWidth="1"/>
    <col min="9" max="9" width="25" style="4" customWidth="1"/>
    <col min="10" max="10" width="9.140625" style="4"/>
    <col min="11" max="11" width="20.140625" style="4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46210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SUBTOTAL(3,A6:A2107)</f>
        <v>4</v>
      </c>
      <c r="B3" s="4">
        <f>COUNTIF($B$6:$B$1001,B2)</f>
        <v>198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hidden="1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hidden="1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hidden="1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hidden="1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hidden="1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hidden="1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hidden="1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hidden="1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hidden="1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hidden="1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hidden="1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hidden="1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hidden="1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hidden="1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hidden="1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hidden="1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hidden="1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hidden="1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hidden="1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hidden="1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hidden="1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hidden="1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hidden="1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hidden="1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hidden="1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hidden="1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hidden="1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hidden="1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hidden="1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hidden="1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hidden="1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hidden="1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hidden="1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hidden="1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hidden="1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hidden="1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hidden="1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hidden="1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hidden="1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hidden="1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hidden="1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hidden="1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hidden="1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hidden="1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hidden="1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hidden="1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hidden="1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hidden="1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hidden="1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hidden="1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hidden="1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hidden="1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hidden="1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hidden="1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hidden="1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hidden="1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hidden="1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hidden="1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hidden="1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hidden="1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hidden="1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hidden="1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hidden="1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hidden="1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hidden="1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hidden="1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hidden="1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hidden="1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hidden="1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hidden="1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hidden="1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hidden="1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hidden="1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hidden="1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hidden="1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hidden="1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hidden="1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hidden="1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hidden="1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hidden="1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hidden="1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hidden="1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hidden="1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hidden="1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hidden="1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hidden="1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hidden="1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hidden="1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hidden="1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hidden="1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hidden="1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hidden="1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hidden="1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hidden="1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hidden="1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hidden="1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hidden="1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hidden="1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hidden="1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hidden="1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hidden="1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hidden="1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hidden="1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hidden="1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hidden="1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hidden="1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hidden="1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hidden="1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hidden="1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hidden="1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hidden="1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hidden="1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hidden="1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hidden="1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hidden="1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hidden="1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hidden="1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hidden="1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hidden="1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hidden="1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hidden="1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hidden="1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hidden="1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hidden="1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hidden="1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hidden="1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hidden="1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hidden="1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hidden="1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hidden="1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hidden="1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hidden="1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hidden="1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hidden="1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hidden="1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hidden="1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hidden="1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hidden="1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hidden="1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hidden="1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hidden="1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hidden="1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hidden="1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hidden="1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hidden="1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hidden="1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hidden="1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hidden="1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hidden="1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hidden="1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hidden="1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hidden="1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hidden="1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hidden="1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hidden="1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hidden="1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hidden="1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hidden="1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hidden="1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hidden="1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hidden="1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hidden="1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hidden="1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hidden="1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hidden="1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hidden="1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hidden="1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hidden="1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hidden="1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hidden="1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hidden="1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hidden="1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hidden="1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hidden="1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hidden="1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hidden="1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hidden="1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hidden="1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hidden="1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hidden="1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hidden="1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hidden="1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hidden="1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hidden="1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hidden="1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hidden="1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hidden="1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hidden="1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hidden="1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hidden="1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hidden="1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hidden="1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hidden="1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hidden="1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hidden="1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hidden="1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hidden="1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hidden="1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hidden="1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hidden="1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hidden="1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hidden="1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hidden="1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hidden="1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hidden="1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hidden="1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hidden="1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hidden="1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hidden="1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hidden="1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hidden="1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hidden="1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hidden="1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hidden="1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hidden="1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hidden="1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hidden="1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hidden="1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hidden="1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hidden="1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hidden="1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hidden="1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hidden="1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hidden="1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hidden="1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hidden="1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hidden="1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hidden="1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hidden="1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hidden="1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hidden="1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hidden="1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hidden="1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hidden="1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hidden="1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hidden="1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hidden="1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hidden="1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hidden="1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hidden="1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hidden="1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hidden="1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hidden="1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hidden="1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hidden="1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hidden="1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hidden="1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hidden="1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hidden="1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hidden="1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hidden="1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hidden="1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hidden="1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hidden="1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hidden="1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hidden="1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hidden="1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hidden="1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hidden="1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hidden="1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hidden="1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hidden="1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hidden="1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hidden="1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hidden="1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hidden="1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hidden="1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hidden="1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hidden="1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hidden="1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hidden="1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hidden="1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hidden="1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hidden="1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hidden="1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hidden="1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hidden="1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hidden="1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hidden="1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hidden="1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hidden="1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hidden="1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hidden="1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hidden="1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hidden="1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hidden="1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hidden="1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hidden="1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hidden="1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hidden="1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hidden="1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hidden="1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hidden="1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hidden="1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hidden="1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hidden="1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hidden="1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hidden="1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hidden="1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hidden="1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hidden="1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hidden="1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hidden="1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hidden="1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hidden="1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hidden="1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hidden="1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hidden="1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hidden="1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hidden="1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hidden="1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hidden="1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hidden="1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hidden="1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hidden="1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hidden="1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hidden="1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hidden="1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hidden="1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hidden="1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hidden="1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hidden="1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hidden="1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hidden="1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hidden="1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hidden="1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hidden="1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hidden="1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hidden="1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hidden="1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hidden="1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hidden="1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hidden="1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hidden="1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hidden="1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hidden="1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hidden="1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hidden="1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hidden="1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hidden="1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hidden="1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hidden="1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hidden="1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hidden="1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hidden="1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hidden="1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hidden="1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hidden="1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hidden="1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hidden="1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hidden="1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hidden="1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hidden="1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hidden="1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hidden="1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hidden="1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hidden="1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hidden="1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hidden="1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hidden="1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hidden="1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hidden="1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hidden="1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hidden="1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hidden="1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hidden="1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hidden="1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hidden="1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hidden="1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hidden="1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hidden="1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hidden="1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hidden="1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hidden="1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hidden="1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hidden="1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hidden="1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hidden="1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hidden="1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hidden="1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hidden="1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hidden="1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hidden="1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hidden="1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hidden="1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hidden="1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hidden="1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hidden="1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hidden="1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hidden="1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hidden="1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hidden="1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hidden="1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hidden="1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hidden="1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hidden="1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hidden="1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hidden="1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hidden="1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hidden="1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hidden="1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hidden="1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hidden="1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hidden="1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hidden="1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hidden="1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hidden="1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hidden="1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hidden="1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hidden="1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hidden="1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hidden="1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hidden="1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hidden="1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hidden="1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hidden="1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hidden="1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hidden="1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hidden="1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hidden="1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hidden="1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hidden="1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hidden="1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hidden="1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hidden="1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hidden="1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hidden="1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hidden="1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hidden="1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hidden="1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hidden="1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hidden="1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hidden="1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hidden="1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hidden="1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hidden="1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hidden="1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hidden="1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hidden="1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hidden="1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hidden="1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hidden="1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hidden="1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hidden="1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hidden="1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hidden="1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hidden="1" x14ac:dyDescent="0.25">
      <c r="A452" s="7" t="s">
        <v>1530</v>
      </c>
      <c r="B452" s="7" t="s">
        <v>2360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hidden="1" x14ac:dyDescent="0.25">
      <c r="A453" s="7" t="s">
        <v>1531</v>
      </c>
      <c r="B453" s="7" t="s">
        <v>2359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hidden="1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hidden="1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hidden="1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hidden="1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hidden="1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hidden="1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hidden="1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hidden="1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hidden="1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hidden="1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hidden="1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hidden="1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hidden="1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hidden="1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hidden="1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hidden="1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hidden="1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hidden="1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hidden="1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hidden="1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hidden="1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hidden="1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hidden="1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hidden="1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hidden="1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hidden="1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hidden="1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hidden="1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hidden="1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hidden="1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hidden="1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hidden="1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hidden="1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hidden="1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hidden="1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hidden="1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hidden="1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hidden="1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hidden="1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hidden="1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hidden="1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hidden="1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hidden="1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hidden="1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hidden="1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hidden="1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hidden="1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hidden="1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hidden="1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hidden="1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hidden="1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hidden="1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hidden="1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hidden="1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hidden="1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hidden="1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hidden="1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hidden="1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hidden="1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hidden="1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hidden="1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hidden="1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hidden="1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hidden="1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hidden="1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hidden="1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hidden="1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hidden="1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hidden="1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hidden="1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hidden="1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hidden="1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hidden="1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hidden="1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hidden="1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hidden="1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hidden="1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hidden="1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hidden="1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hidden="1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hidden="1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hidden="1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hidden="1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hidden="1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hidden="1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hidden="1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hidden="1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hidden="1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hidden="1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hidden="1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hidden="1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hidden="1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hidden="1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hidden="1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hidden="1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hidden="1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hidden="1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hidden="1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hidden="1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hidden="1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hidden="1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hidden="1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hidden="1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hidden="1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hidden="1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hidden="1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hidden="1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hidden="1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hidden="1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hidden="1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hidden="1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hidden="1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hidden="1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hidden="1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hidden="1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hidden="1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hidden="1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hidden="1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hidden="1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hidden="1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hidden="1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hidden="1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hidden="1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hidden="1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hidden="1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hidden="1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hidden="1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hidden="1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hidden="1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hidden="1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hidden="1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hidden="1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hidden="1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hidden="1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hidden="1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hidden="1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hidden="1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hidden="1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hidden="1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hidden="1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hidden="1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hidden="1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hidden="1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hidden="1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hidden="1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hidden="1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hidden="1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hidden="1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hidden="1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hidden="1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hidden="1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hidden="1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hidden="1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hidden="1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hidden="1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hidden="1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hidden="1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hidden="1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hidden="1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hidden="1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hidden="1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hidden="1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hidden="1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hidden="1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hidden="1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hidden="1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hidden="1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hidden="1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hidden="1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hidden="1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hidden="1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hidden="1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hidden="1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hidden="1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hidden="1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hidden="1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hidden="1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hidden="1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hidden="1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hidden="1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hidden="1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hidden="1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hidden="1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hidden="1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hidden="1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hidden="1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hidden="1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hidden="1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hidden="1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hidden="1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hidden="1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hidden="1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hidden="1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hidden="1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hidden="1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hidden="1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hidden="1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hidden="1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hidden="1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hidden="1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hidden="1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hidden="1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hidden="1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hidden="1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hidden="1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hidden="1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hidden="1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hidden="1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hidden="1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hidden="1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hidden="1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hidden="1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hidden="1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hidden="1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hidden="1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hidden="1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hidden="1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hidden="1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hidden="1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hidden="1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hidden="1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hidden="1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hidden="1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hidden="1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hidden="1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hidden="1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hidden="1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hidden="1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hidden="1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hidden="1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hidden="1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hidden="1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hidden="1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hidden="1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hidden="1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hidden="1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hidden="1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hidden="1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hidden="1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hidden="1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hidden="1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hidden="1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hidden="1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hidden="1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hidden="1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hidden="1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hidden="1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hidden="1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hidden="1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hidden="1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hidden="1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hidden="1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hidden="1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hidden="1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hidden="1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hidden="1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hidden="1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hidden="1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hidden="1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hidden="1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hidden="1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hidden="1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hidden="1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hidden="1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hidden="1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hidden="1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hidden="1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hidden="1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hidden="1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hidden="1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hidden="1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hidden="1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hidden="1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hidden="1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hidden="1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hidden="1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hidden="1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hidden="1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hidden="1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hidden="1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hidden="1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hidden="1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hidden="1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hidden="1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hidden="1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hidden="1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hidden="1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hidden="1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hidden="1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hidden="1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hidden="1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hidden="1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hidden="1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hidden="1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hidden="1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hidden="1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hidden="1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hidden="1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hidden="1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hidden="1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hidden="1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hidden="1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hidden="1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hidden="1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hidden="1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hidden="1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hidden="1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hidden="1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hidden="1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hidden="1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hidden="1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hidden="1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hidden="1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hidden="1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hidden="1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hidden="1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hidden="1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hidden="1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hidden="1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hidden="1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hidden="1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hidden="1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hidden="1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hidden="1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hidden="1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hidden="1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hidden="1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hidden="1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hidden="1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hidden="1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hidden="1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hidden="1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hidden="1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hidden="1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hidden="1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hidden="1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hidden="1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hidden="1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hidden="1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hidden="1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hidden="1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hidden="1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hidden="1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hidden="1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hidden="1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hidden="1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hidden="1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hidden="1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hidden="1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hidden="1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hidden="1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hidden="1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hidden="1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hidden="1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hidden="1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hidden="1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hidden="1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hidden="1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hidden="1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hidden="1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hidden="1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hidden="1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hidden="1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hidden="1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hidden="1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hidden="1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hidden="1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hidden="1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hidden="1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hidden="1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hidden="1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hidden="1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hidden="1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hidden="1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hidden="1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hidden="1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hidden="1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hidden="1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hidden="1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hidden="1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hidden="1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hidden="1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hidden="1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hidden="1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hidden="1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hidden="1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hidden="1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hidden="1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hidden="1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hidden="1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hidden="1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hidden="1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hidden="1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hidden="1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hidden="1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hidden="1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hidden="1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hidden="1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hidden="1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hidden="1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hidden="1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hidden="1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hidden="1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hidden="1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hidden="1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hidden="1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hidden="1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hidden="1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hidden="1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hidden="1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hidden="1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hidden="1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hidden="1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hidden="1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hidden="1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hidden="1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hidden="1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hidden="1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hidden="1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hidden="1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hidden="1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hidden="1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hidden="1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hidden="1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hidden="1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hidden="1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hidden="1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hidden="1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hidden="1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hidden="1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hidden="1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hidden="1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hidden="1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hidden="1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hidden="1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hidden="1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hidden="1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hidden="1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hidden="1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hidden="1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hidden="1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hidden="1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hidden="1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hidden="1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hidden="1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hidden="1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hidden="1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hidden="1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hidden="1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hidden="1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hidden="1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hidden="1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hidden="1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hidden="1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hidden="1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hidden="1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hidden="1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hidden="1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hidden="1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hidden="1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hidden="1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hidden="1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hidden="1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hidden="1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hidden="1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hidden="1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hidden="1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hidden="1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hidden="1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hidden="1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hidden="1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hidden="1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hidden="1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hidden="1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hidden="1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hidden="1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hidden="1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hidden="1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hidden="1" x14ac:dyDescent="0.25">
      <c r="A932" s="7" t="s">
        <v>1530</v>
      </c>
      <c r="B932" s="7" t="s">
        <v>2360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hidden="1" x14ac:dyDescent="0.25">
      <c r="A933" s="7" t="s">
        <v>1853</v>
      </c>
      <c r="B933" s="7" t="s">
        <v>2358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hidden="1" x14ac:dyDescent="0.25">
      <c r="A934" s="7" t="s">
        <v>1531</v>
      </c>
      <c r="B934" s="7" t="s">
        <v>2359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hidden="1" x14ac:dyDescent="0.25">
      <c r="A935" s="7" t="s">
        <v>1854</v>
      </c>
      <c r="B935" s="7" t="s">
        <v>2361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hidden="1" x14ac:dyDescent="0.25">
      <c r="A936" s="7" t="s">
        <v>1855</v>
      </c>
      <c r="B936" s="7" t="s">
        <v>2362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hidden="1" x14ac:dyDescent="0.25">
      <c r="A937" s="7" t="s">
        <v>1532</v>
      </c>
      <c r="B937" s="7" t="s">
        <v>2363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hidden="1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hidden="1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hidden="1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hidden="1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hidden="1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hidden="1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hidden="1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hidden="1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hidden="1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hidden="1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hidden="1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hidden="1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hidden="1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hidden="1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hidden="1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hidden="1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hidden="1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hidden="1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hidden="1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hidden="1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hidden="1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hidden="1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hidden="1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hidden="1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hidden="1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hidden="1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hidden="1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hidden="1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hidden="1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hidden="1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hidden="1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hidden="1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hidden="1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hidden="1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hidden="1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hidden="1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hidden="1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hidden="1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hidden="1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hidden="1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hidden="1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hidden="1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hidden="1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hidden="1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hidden="1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hidden="1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hidden="1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hidden="1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hidden="1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hidden="1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hidden="1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hidden="1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hidden="1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hidden="1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hidden="1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hidden="1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hidden="1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hidden="1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hidden="1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hidden="1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hidden="1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hidden="1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hidden="1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hidden="1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hidden="1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hidden="1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hidden="1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hidden="1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hidden="1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hidden="1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hidden="1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hidden="1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hidden="1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hidden="1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hidden="1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hidden="1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hidden="1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hidden="1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hidden="1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hidden="1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hidden="1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hidden="1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hidden="1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hidden="1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hidden="1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hidden="1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hidden="1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hidden="1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hidden="1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hidden="1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hidden="1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hidden="1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hidden="1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hidden="1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hidden="1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hidden="1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hidden="1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hidden="1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hidden="1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hidden="1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hidden="1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hidden="1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hidden="1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hidden="1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hidden="1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hidden="1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hidden="1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hidden="1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hidden="1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hidden="1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hidden="1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hidden="1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hidden="1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hidden="1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hidden="1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hidden="1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hidden="1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hidden="1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hidden="1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hidden="1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hidden="1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hidden="1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hidden="1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hidden="1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hidden="1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hidden="1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hidden="1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hidden="1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hidden="1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hidden="1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hidden="1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hidden="1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hidden="1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hidden="1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hidden="1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hidden="1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hidden="1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hidden="1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hidden="1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hidden="1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hidden="1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hidden="1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hidden="1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hidden="1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hidden="1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hidden="1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hidden="1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hidden="1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hidden="1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hidden="1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hidden="1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hidden="1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hidden="1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hidden="1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hidden="1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hidden="1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hidden="1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hidden="1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hidden="1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hidden="1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hidden="1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hidden="1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hidden="1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hidden="1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hidden="1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hidden="1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hidden="1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hidden="1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hidden="1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hidden="1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hidden="1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hidden="1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hidden="1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hidden="1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hidden="1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hidden="1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hidden="1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hidden="1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hidden="1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hidden="1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hidden="1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hidden="1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hidden="1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hidden="1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hidden="1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hidden="1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hidden="1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hidden="1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hidden="1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hidden="1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hidden="1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hidden="1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hidden="1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hidden="1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hidden="1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hidden="1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hidden="1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hidden="1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hidden="1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hidden="1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hidden="1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hidden="1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hidden="1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hidden="1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hidden="1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hidden="1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hidden="1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hidden="1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hidden="1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hidden="1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hidden="1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hidden="1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hidden="1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hidden="1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hidden="1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hidden="1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hidden="1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hidden="1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hidden="1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hidden="1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hidden="1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hidden="1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hidden="1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hidden="1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hidden="1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hidden="1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hidden="1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hidden="1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hidden="1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hidden="1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hidden="1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hidden="1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hidden="1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hidden="1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hidden="1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hidden="1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hidden="1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hidden="1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hidden="1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hidden="1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hidden="1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hidden="1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hidden="1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hidden="1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hidden="1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hidden="1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hidden="1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hidden="1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hidden="1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hidden="1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hidden="1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hidden="1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hidden="1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hidden="1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hidden="1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hidden="1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hidden="1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hidden="1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12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hidden="1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hidden="1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hidden="1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hidden="1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hidden="1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hidden="1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hidden="1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9" si="125">COUNTIF($I$6:$I$1194,I1202)</f>
        <v>0</v>
      </c>
      <c r="K1202" s="1" t="str">
        <f t="shared" ref="K1202:K1266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hidden="1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hidden="1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1205" spans="1:14" hidden="1" x14ac:dyDescent="0.25">
      <c r="A1205" s="7" t="s">
        <v>2377</v>
      </c>
      <c r="B1205" s="7" t="s">
        <v>2378</v>
      </c>
      <c r="C1205" s="12" t="s">
        <v>193</v>
      </c>
      <c r="D1205" s="12"/>
      <c r="E1205" s="12" t="s">
        <v>1960</v>
      </c>
      <c r="F1205" s="12"/>
      <c r="G1205" s="8" t="s">
        <v>2329</v>
      </c>
      <c r="H1205" s="7" t="s">
        <v>652</v>
      </c>
      <c r="I1205" s="19" t="str">
        <f t="shared" ref="I1205" si="127">H1205&amp;"_"&amp;TRIM(A1205)</f>
        <v>bugs_nt_NonIns_BCG_att456t</v>
      </c>
      <c r="J1205" s="7">
        <f t="shared" ref="J1205" si="128">COUNTIF($I$6:$I$1194,I1205)</f>
        <v>0</v>
      </c>
      <c r="K1205" s="1" t="str">
        <f t="shared" ref="K1205" si="129">"unclassified_"&amp;H1205</f>
        <v>unclassified_bugs</v>
      </c>
      <c r="L1205" s="1" t="s">
        <v>2355</v>
      </c>
      <c r="M1205" s="7"/>
      <c r="N1205" s="1" t="b">
        <v>0</v>
      </c>
    </row>
    <row r="1206" spans="1:14" hidden="1" x14ac:dyDescent="0.25">
      <c r="A1206" s="7" t="s">
        <v>2353</v>
      </c>
      <c r="B1206" s="7" t="s">
        <v>2356</v>
      </c>
      <c r="C1206" s="12" t="s">
        <v>193</v>
      </c>
      <c r="D1206" s="12"/>
      <c r="E1206" s="12" t="s">
        <v>1960</v>
      </c>
      <c r="F1206" s="12"/>
      <c r="G1206" s="8" t="s">
        <v>2329</v>
      </c>
      <c r="H1206" s="7" t="s">
        <v>652</v>
      </c>
      <c r="I1206" s="19" t="str">
        <f t="shared" si="121"/>
        <v>bugs_pt_NonIns_BCG_att456t</v>
      </c>
      <c r="J1206" s="7">
        <f t="shared" si="125"/>
        <v>0</v>
      </c>
      <c r="K1206" s="1" t="str">
        <f t="shared" si="126"/>
        <v>unclassified_bugs</v>
      </c>
      <c r="L1206" s="1" t="s">
        <v>2355</v>
      </c>
      <c r="M1206" s="7"/>
      <c r="N1206" s="1" t="b">
        <v>0</v>
      </c>
    </row>
    <row r="1207" spans="1:14" x14ac:dyDescent="0.25">
      <c r="A1207" s="7" t="s">
        <v>2354</v>
      </c>
      <c r="B1207" s="7" t="s">
        <v>2357</v>
      </c>
      <c r="C1207" s="12" t="s">
        <v>180</v>
      </c>
      <c r="D1207" s="12"/>
      <c r="E1207" s="12" t="s">
        <v>1960</v>
      </c>
      <c r="F1207" s="12"/>
      <c r="G1207" s="8" t="s">
        <v>2329</v>
      </c>
      <c r="H1207" s="7" t="s">
        <v>652</v>
      </c>
      <c r="I1207" s="19" t="str">
        <f t="shared" si="121"/>
        <v>bugs_pi_dom01_BCG_att456</v>
      </c>
      <c r="J1207" s="7">
        <f t="shared" si="125"/>
        <v>0</v>
      </c>
      <c r="K1207" s="1" t="str">
        <f t="shared" si="126"/>
        <v>unclassified_bugs</v>
      </c>
      <c r="L1207" s="1" t="s">
        <v>2355</v>
      </c>
      <c r="M1207" s="7"/>
      <c r="N1207" s="1" t="b">
        <v>0</v>
      </c>
    </row>
    <row r="1208" spans="1:14" x14ac:dyDescent="0.25">
      <c r="A1208" s="7" t="s">
        <v>2417</v>
      </c>
      <c r="B1208" s="7" t="s">
        <v>2418</v>
      </c>
      <c r="C1208" s="12" t="s">
        <v>180</v>
      </c>
      <c r="D1208" s="12"/>
      <c r="E1208" s="12" t="s">
        <v>1960</v>
      </c>
      <c r="F1208" s="12"/>
      <c r="G1208" s="8" t="s">
        <v>2329</v>
      </c>
      <c r="H1208" s="7" t="s">
        <v>652</v>
      </c>
      <c r="I1208" s="19" t="str">
        <f t="shared" ref="I1208" si="130">H1208&amp;"_"&amp;TRIM(A1208)</f>
        <v>bugs_pi_dom01_BCG_att456t</v>
      </c>
      <c r="J1208" s="7">
        <f t="shared" ref="J1208" si="131">COUNTIF($I$6:$I$1194,I1208)</f>
        <v>0</v>
      </c>
      <c r="K1208" s="1" t="str">
        <f t="shared" ref="K1208" si="132">"unclassified_"&amp;H1208</f>
        <v>unclassified_bugs</v>
      </c>
      <c r="L1208" s="1" t="s">
        <v>2355</v>
      </c>
      <c r="M1208" s="7"/>
      <c r="N1208" s="1" t="b">
        <v>0</v>
      </c>
    </row>
    <row r="1209" spans="1:14" x14ac:dyDescent="0.25">
      <c r="A1209" s="7" t="s">
        <v>2414</v>
      </c>
      <c r="B1209" s="7" t="s">
        <v>2404</v>
      </c>
      <c r="C1209" s="12" t="s">
        <v>180</v>
      </c>
      <c r="D1209" s="12"/>
      <c r="E1209" s="12" t="s">
        <v>1960</v>
      </c>
      <c r="F1209" s="12"/>
      <c r="G1209" s="8" t="s">
        <v>2329</v>
      </c>
      <c r="H1209" s="7" t="s">
        <v>652</v>
      </c>
      <c r="I1209" s="19" t="str">
        <f t="shared" si="121"/>
        <v>bugs_pi_dom01_BCG_att456m6t</v>
      </c>
      <c r="J1209" s="7">
        <f t="shared" si="125"/>
        <v>0</v>
      </c>
      <c r="K1209" s="1" t="str">
        <f t="shared" si="126"/>
        <v>unclassified_bugs</v>
      </c>
      <c r="L1209" s="1" t="s">
        <v>2355</v>
      </c>
      <c r="M1209" s="7"/>
      <c r="N1209" s="1" t="b">
        <v>0</v>
      </c>
    </row>
    <row r="1210" spans="1:14" hidden="1" x14ac:dyDescent="0.25">
      <c r="A1210" s="7" t="s">
        <v>2365</v>
      </c>
      <c r="B1210" s="7" t="s">
        <v>2368</v>
      </c>
      <c r="C1210" s="12" t="s">
        <v>229</v>
      </c>
      <c r="D1210" s="12"/>
      <c r="E1210" s="12"/>
      <c r="F1210" s="12"/>
      <c r="G1210" s="8"/>
      <c r="H1210" s="7" t="s">
        <v>652</v>
      </c>
      <c r="I1210" s="19" t="str">
        <f t="shared" si="121"/>
        <v>bugs_nt_ffg2_deepdep</v>
      </c>
      <c r="J1210" s="7"/>
      <c r="K1210" s="1" t="str">
        <f t="shared" si="126"/>
        <v>unclassified_bugs</v>
      </c>
      <c r="L1210" s="1" t="s">
        <v>2372</v>
      </c>
      <c r="M1210" s="7"/>
      <c r="N1210" s="1" t="b">
        <v>0</v>
      </c>
    </row>
    <row r="1211" spans="1:14" hidden="1" x14ac:dyDescent="0.25">
      <c r="A1211" s="7" t="s">
        <v>2366</v>
      </c>
      <c r="B1211" s="7" t="s">
        <v>2369</v>
      </c>
      <c r="C1211" s="12" t="s">
        <v>229</v>
      </c>
      <c r="D1211" s="12"/>
      <c r="E1211" s="12"/>
      <c r="F1211" s="12"/>
      <c r="G1211" s="8"/>
      <c r="H1211" s="7" t="s">
        <v>652</v>
      </c>
      <c r="I1211" s="19" t="str">
        <f t="shared" si="121"/>
        <v>bugs_pi_ffg2_deepdep</v>
      </c>
      <c r="J1211" s="7"/>
      <c r="K1211" s="1" t="str">
        <f t="shared" si="126"/>
        <v>unclassified_bugs</v>
      </c>
      <c r="L1211" s="1" t="s">
        <v>2372</v>
      </c>
      <c r="M1211" s="7"/>
      <c r="N1211" s="1" t="b">
        <v>0</v>
      </c>
    </row>
    <row r="1212" spans="1:14" hidden="1" x14ac:dyDescent="0.25">
      <c r="A1212" s="7" t="s">
        <v>403</v>
      </c>
      <c r="B1212" s="7" t="s">
        <v>2367</v>
      </c>
      <c r="C1212" s="12" t="s">
        <v>2376</v>
      </c>
      <c r="D1212" s="12"/>
      <c r="E1212" s="12"/>
      <c r="F1212" s="12"/>
      <c r="G1212" s="8"/>
      <c r="H1212" s="7" t="s">
        <v>652</v>
      </c>
      <c r="I1212" s="19" t="str">
        <f t="shared" si="121"/>
        <v>bugs_ni_m2</v>
      </c>
      <c r="J1212" s="7"/>
      <c r="K1212" s="1" t="str">
        <f t="shared" si="126"/>
        <v>unclassified_bugs</v>
      </c>
      <c r="L1212" s="1" t="s">
        <v>2372</v>
      </c>
      <c r="M1212" s="7"/>
      <c r="N1212" s="1" t="b">
        <v>0</v>
      </c>
    </row>
    <row r="1213" spans="1:14" hidden="1" x14ac:dyDescent="0.25">
      <c r="A1213" s="7" t="s">
        <v>2370</v>
      </c>
      <c r="B1213" s="7" t="s">
        <v>2371</v>
      </c>
      <c r="C1213" s="12" t="s">
        <v>2375</v>
      </c>
      <c r="D1213" s="12"/>
      <c r="E1213" s="12" t="s">
        <v>1960</v>
      </c>
      <c r="F1213" s="12"/>
      <c r="G1213" s="8"/>
      <c r="H1213" s="7" t="s">
        <v>652</v>
      </c>
      <c r="I1213" s="19" t="str">
        <f t="shared" ref="I1213:I1276" si="133">H1213&amp;"_"&amp;TRIM(A1213)</f>
        <v>bugs_sum_density_m2</v>
      </c>
      <c r="J1213" s="7"/>
      <c r="K1213" s="1" t="str">
        <f t="shared" si="126"/>
        <v>unclassified_bugs</v>
      </c>
      <c r="L1213" s="1" t="s">
        <v>2355</v>
      </c>
      <c r="M1213" s="7"/>
      <c r="N1213" s="1" t="b">
        <v>0</v>
      </c>
    </row>
    <row r="1214" spans="1:14" hidden="1" x14ac:dyDescent="0.25">
      <c r="A1214" s="7" t="s">
        <v>2379</v>
      </c>
      <c r="B1214" s="7" t="s">
        <v>2373</v>
      </c>
      <c r="C1214" s="16" t="s">
        <v>2322</v>
      </c>
      <c r="D1214" s="55"/>
      <c r="E1214" s="12" t="s">
        <v>1960</v>
      </c>
      <c r="F1214" s="12"/>
      <c r="G1214" s="8" t="s">
        <v>2329</v>
      </c>
      <c r="H1214" s="1" t="s">
        <v>391</v>
      </c>
      <c r="I1214" s="19" t="str">
        <f t="shared" si="133"/>
        <v>fish_n_ac_mwf</v>
      </c>
      <c r="J1214" s="7">
        <f t="shared" ref="J1214" si="134">COUNTIF($I$6:$I$1123,I1214)</f>
        <v>0</v>
      </c>
      <c r="K1214" s="1" t="str">
        <f t="shared" si="126"/>
        <v>unclassified_fish</v>
      </c>
      <c r="L1214" s="1" t="s">
        <v>1577</v>
      </c>
      <c r="M1214" s="1"/>
      <c r="N1214" s="1" t="s">
        <v>2133</v>
      </c>
    </row>
    <row r="1215" spans="1:14" hidden="1" x14ac:dyDescent="0.25">
      <c r="A1215" s="7" t="s">
        <v>2382</v>
      </c>
      <c r="B1215" s="7" t="s">
        <v>2383</v>
      </c>
      <c r="C1215" s="12" t="s">
        <v>181</v>
      </c>
      <c r="D1215" s="12"/>
      <c r="E1215" s="12" t="s">
        <v>1960</v>
      </c>
      <c r="F1215" s="12"/>
      <c r="G1215" s="8"/>
      <c r="H1215" s="7" t="s">
        <v>652</v>
      </c>
      <c r="I1215" s="19" t="str">
        <f t="shared" si="133"/>
        <v>bugs_nt_EPT_BCG_att1i2</v>
      </c>
      <c r="J1215" s="7"/>
      <c r="K1215" s="1" t="str">
        <f t="shared" si="126"/>
        <v>unclassified_bugs</v>
      </c>
      <c r="L1215" s="1" t="s">
        <v>1565</v>
      </c>
      <c r="M1215" s="7"/>
      <c r="N1215" s="1" t="b">
        <v>0</v>
      </c>
    </row>
    <row r="1216" spans="1:14" hidden="1" x14ac:dyDescent="0.25">
      <c r="A1216" s="7" t="s">
        <v>2384</v>
      </c>
      <c r="B1216" s="7" t="s">
        <v>2385</v>
      </c>
      <c r="C1216" s="12" t="s">
        <v>181</v>
      </c>
      <c r="D1216" s="12"/>
      <c r="E1216" s="12" t="s">
        <v>1960</v>
      </c>
      <c r="F1216" s="12"/>
      <c r="G1216" s="8"/>
      <c r="H1216" s="7" t="s">
        <v>652</v>
      </c>
      <c r="I1216" s="19" t="str">
        <f t="shared" si="133"/>
        <v>bugs_pt_EPT_BCG_att1i2</v>
      </c>
      <c r="J1216" s="7"/>
      <c r="K1216" s="1" t="str">
        <f t="shared" si="126"/>
        <v>unclassified_bugs</v>
      </c>
      <c r="L1216" s="1" t="s">
        <v>1565</v>
      </c>
      <c r="M1216" s="7"/>
      <c r="N1216" s="1" t="b">
        <v>0</v>
      </c>
    </row>
    <row r="1217" spans="1:14" hidden="1" x14ac:dyDescent="0.25">
      <c r="A1217" s="7" t="s">
        <v>2386</v>
      </c>
      <c r="B1217" s="7" t="s">
        <v>2387</v>
      </c>
      <c r="C1217" s="12" t="s">
        <v>181</v>
      </c>
      <c r="D1217" s="12"/>
      <c r="E1217" s="12" t="s">
        <v>1960</v>
      </c>
      <c r="F1217" s="12"/>
      <c r="G1217" s="8"/>
      <c r="H1217" s="7" t="s">
        <v>652</v>
      </c>
      <c r="I1217" s="19" t="str">
        <f t="shared" si="133"/>
        <v>bugs_pi_EPT_BCG_att1i2</v>
      </c>
      <c r="J1217" s="7"/>
      <c r="K1217" s="1" t="str">
        <f t="shared" si="126"/>
        <v>unclassified_bugs</v>
      </c>
      <c r="L1217" s="1" t="s">
        <v>1565</v>
      </c>
      <c r="M1217" s="7"/>
      <c r="N1217" s="1" t="b">
        <v>0</v>
      </c>
    </row>
    <row r="1218" spans="1:14" hidden="1" x14ac:dyDescent="0.25">
      <c r="A1218" s="7" t="s">
        <v>2388</v>
      </c>
      <c r="B1218" s="7" t="s">
        <v>2389</v>
      </c>
      <c r="C1218" s="12" t="s">
        <v>173</v>
      </c>
      <c r="D1218" s="12"/>
      <c r="E1218" s="12" t="s">
        <v>1960</v>
      </c>
      <c r="F1218" s="12"/>
      <c r="G1218" s="8"/>
      <c r="H1218" s="7" t="s">
        <v>652</v>
      </c>
      <c r="I1218" s="19" t="str">
        <f t="shared" si="133"/>
        <v>bugs_nord_COEPT</v>
      </c>
      <c r="J1218" s="7"/>
      <c r="K1218" s="1" t="str">
        <f t="shared" si="126"/>
        <v>unclassified_bugs</v>
      </c>
      <c r="L1218" s="1" t="s">
        <v>1565</v>
      </c>
      <c r="M1218" s="7"/>
      <c r="N1218" s="1" t="b">
        <v>0</v>
      </c>
    </row>
    <row r="1219" spans="1:14" hidden="1" x14ac:dyDescent="0.25">
      <c r="A1219" s="7" t="s">
        <v>2390</v>
      </c>
      <c r="B1219" s="7" t="s">
        <v>2391</v>
      </c>
      <c r="C1219" s="12" t="s">
        <v>173</v>
      </c>
      <c r="D1219" s="12"/>
      <c r="E1219" s="12" t="s">
        <v>1960</v>
      </c>
      <c r="F1219" s="12"/>
      <c r="G1219" s="8"/>
      <c r="H1219" s="7" t="s">
        <v>652</v>
      </c>
      <c r="I1219" s="19" t="str">
        <f t="shared" si="133"/>
        <v>bugs_nt_COEPT</v>
      </c>
      <c r="J1219" s="7"/>
      <c r="K1219" s="1" t="str">
        <f t="shared" si="126"/>
        <v>unclassified_bugs</v>
      </c>
      <c r="L1219" s="1" t="s">
        <v>1565</v>
      </c>
      <c r="M1219" s="7"/>
      <c r="N1219" s="1" t="b">
        <v>0</v>
      </c>
    </row>
    <row r="1220" spans="1:14" hidden="1" x14ac:dyDescent="0.25">
      <c r="A1220" s="7" t="s">
        <v>2392</v>
      </c>
      <c r="B1220" s="7" t="s">
        <v>2393</v>
      </c>
      <c r="C1220" s="12" t="s">
        <v>181</v>
      </c>
      <c r="D1220" s="12"/>
      <c r="E1220" s="12" t="s">
        <v>1960</v>
      </c>
      <c r="F1220" s="12"/>
      <c r="G1220" s="8"/>
      <c r="H1220" s="7" t="s">
        <v>652</v>
      </c>
      <c r="I1220" s="19" t="str">
        <f t="shared" si="133"/>
        <v>bugs_pi_COEPT_BCG_att1i234b4m</v>
      </c>
      <c r="J1220" s="7"/>
      <c r="K1220" s="1" t="str">
        <f t="shared" si="126"/>
        <v>unclassified_bugs</v>
      </c>
      <c r="L1220" s="1" t="s">
        <v>1565</v>
      </c>
      <c r="M1220" s="7"/>
      <c r="N1220" s="1" t="b">
        <v>0</v>
      </c>
    </row>
    <row r="1221" spans="1:14" hidden="1" x14ac:dyDescent="0.25">
      <c r="A1221" s="7" t="s">
        <v>2394</v>
      </c>
      <c r="B1221" s="7" t="s">
        <v>2395</v>
      </c>
      <c r="C1221" s="12" t="s">
        <v>2396</v>
      </c>
      <c r="D1221" s="12"/>
      <c r="E1221" s="12" t="s">
        <v>1960</v>
      </c>
      <c r="F1221" s="12"/>
      <c r="G1221" s="8"/>
      <c r="H1221" s="7" t="s">
        <v>652</v>
      </c>
      <c r="I1221" s="19" t="str">
        <f t="shared" si="133"/>
        <v>bugs_nt_EPT_volt_semi</v>
      </c>
      <c r="J1221" s="7"/>
      <c r="K1221" s="1" t="str">
        <f t="shared" si="126"/>
        <v>unclassified_bugs</v>
      </c>
      <c r="L1221" s="1" t="s">
        <v>1565</v>
      </c>
      <c r="M1221" s="7"/>
      <c r="N1221" s="1" t="b">
        <v>0</v>
      </c>
    </row>
    <row r="1222" spans="1:14" hidden="1" x14ac:dyDescent="0.25">
      <c r="A1222" s="7" t="s">
        <v>635</v>
      </c>
      <c r="B1222" s="7" t="s">
        <v>636</v>
      </c>
      <c r="C1222" s="12" t="s">
        <v>180</v>
      </c>
      <c r="D1222" s="12"/>
      <c r="E1222" s="12" t="s">
        <v>1960</v>
      </c>
      <c r="F1222" s="12"/>
      <c r="G1222" s="8"/>
      <c r="H1222" s="7" t="s">
        <v>799</v>
      </c>
      <c r="I1222" s="19" t="str">
        <f t="shared" si="133"/>
        <v>algae_nt_BCG_att1</v>
      </c>
      <c r="J1222" s="7"/>
      <c r="K1222" s="1" t="str">
        <f t="shared" si="126"/>
        <v>unclassified_algae</v>
      </c>
      <c r="L1222" s="1" t="s">
        <v>1565</v>
      </c>
      <c r="M1222" s="7"/>
      <c r="N1222" s="1" t="b">
        <v>0</v>
      </c>
    </row>
    <row r="1223" spans="1:14" hidden="1" x14ac:dyDescent="0.25">
      <c r="A1223" s="7" t="s">
        <v>154</v>
      </c>
      <c r="B1223" s="7" t="s">
        <v>1690</v>
      </c>
      <c r="C1223" s="12" t="s">
        <v>180</v>
      </c>
      <c r="D1223" s="12"/>
      <c r="E1223" s="12" t="s">
        <v>1960</v>
      </c>
      <c r="F1223" s="12"/>
      <c r="G1223" s="8"/>
      <c r="H1223" s="7" t="s">
        <v>799</v>
      </c>
      <c r="I1223" s="19" t="str">
        <f t="shared" si="133"/>
        <v>algae_nt_BCG_att1i</v>
      </c>
      <c r="J1223" s="7"/>
      <c r="K1223" s="1" t="str">
        <f t="shared" si="126"/>
        <v>unclassified_algae</v>
      </c>
      <c r="L1223" s="1" t="s">
        <v>1565</v>
      </c>
      <c r="M1223" s="7"/>
      <c r="N1223" s="1" t="b">
        <v>0</v>
      </c>
    </row>
    <row r="1224" spans="1:14" hidden="1" x14ac:dyDescent="0.25">
      <c r="A1224" s="7" t="s">
        <v>155</v>
      </c>
      <c r="B1224" s="7" t="s">
        <v>1694</v>
      </c>
      <c r="C1224" s="12" t="s">
        <v>180</v>
      </c>
      <c r="D1224" s="12"/>
      <c r="E1224" s="12" t="s">
        <v>1960</v>
      </c>
      <c r="F1224" s="12"/>
      <c r="G1224" s="8"/>
      <c r="H1224" s="7" t="s">
        <v>799</v>
      </c>
      <c r="I1224" s="19" t="str">
        <f t="shared" si="133"/>
        <v>algae_nt_BCG_att1m</v>
      </c>
      <c r="J1224" s="7"/>
      <c r="K1224" s="1" t="str">
        <f t="shared" si="126"/>
        <v>unclassified_algae</v>
      </c>
      <c r="L1224" s="1" t="s">
        <v>1565</v>
      </c>
      <c r="M1224" s="7"/>
      <c r="N1224" s="1" t="b">
        <v>0</v>
      </c>
    </row>
    <row r="1225" spans="1:14" hidden="1" x14ac:dyDescent="0.25">
      <c r="A1225" s="7" t="s">
        <v>93</v>
      </c>
      <c r="B1225" s="7" t="s">
        <v>573</v>
      </c>
      <c r="C1225" s="12" t="s">
        <v>180</v>
      </c>
      <c r="D1225" s="12"/>
      <c r="E1225" s="12" t="s">
        <v>1960</v>
      </c>
      <c r="F1225" s="12"/>
      <c r="G1225" s="8"/>
      <c r="H1225" s="7" t="s">
        <v>799</v>
      </c>
      <c r="I1225" s="19" t="str">
        <f t="shared" si="133"/>
        <v>algae_nt_BCG_att12</v>
      </c>
      <c r="J1225" s="7"/>
      <c r="K1225" s="1" t="str">
        <f t="shared" si="126"/>
        <v>unclassified_algae</v>
      </c>
      <c r="L1225" s="1" t="s">
        <v>1565</v>
      </c>
      <c r="M1225" s="7"/>
      <c r="N1225" s="1" t="b">
        <v>0</v>
      </c>
    </row>
    <row r="1226" spans="1:14" hidden="1" x14ac:dyDescent="0.25">
      <c r="A1226" s="7" t="s">
        <v>1838</v>
      </c>
      <c r="B1226" s="7" t="s">
        <v>1839</v>
      </c>
      <c r="C1226" s="12" t="s">
        <v>180</v>
      </c>
      <c r="D1226" s="12"/>
      <c r="E1226" s="12" t="s">
        <v>1960</v>
      </c>
      <c r="F1226" s="12"/>
      <c r="G1226" s="8"/>
      <c r="H1226" s="7" t="s">
        <v>799</v>
      </c>
      <c r="I1226" s="19" t="str">
        <f t="shared" si="133"/>
        <v>algae_nt_BCG_att1234</v>
      </c>
      <c r="J1226" s="7"/>
      <c r="K1226" s="1" t="str">
        <f t="shared" si="126"/>
        <v>unclassified_algae</v>
      </c>
      <c r="L1226" s="1" t="s">
        <v>1565</v>
      </c>
      <c r="M1226" s="7"/>
      <c r="N1226" s="1" t="b">
        <v>0</v>
      </c>
    </row>
    <row r="1227" spans="1:14" hidden="1" x14ac:dyDescent="0.25">
      <c r="A1227" s="7" t="s">
        <v>94</v>
      </c>
      <c r="B1227" s="7" t="s">
        <v>574</v>
      </c>
      <c r="C1227" s="12" t="s">
        <v>180</v>
      </c>
      <c r="D1227" s="12"/>
      <c r="E1227" s="12" t="s">
        <v>1960</v>
      </c>
      <c r="F1227" s="12"/>
      <c r="G1227" s="8"/>
      <c r="H1227" s="7" t="s">
        <v>799</v>
      </c>
      <c r="I1227" s="19" t="str">
        <f t="shared" si="133"/>
        <v>algae_nt_BCG_att1i2</v>
      </c>
      <c r="J1227" s="7"/>
      <c r="K1227" s="1" t="str">
        <f t="shared" si="126"/>
        <v>unclassified_algae</v>
      </c>
      <c r="L1227" s="1" t="s">
        <v>1565</v>
      </c>
      <c r="M1227" s="7"/>
      <c r="N1227" s="1" t="b">
        <v>0</v>
      </c>
    </row>
    <row r="1228" spans="1:14" hidden="1" x14ac:dyDescent="0.25">
      <c r="A1228" s="7" t="s">
        <v>95</v>
      </c>
      <c r="B1228" s="7" t="s">
        <v>575</v>
      </c>
      <c r="C1228" s="12" t="s">
        <v>180</v>
      </c>
      <c r="D1228" s="12"/>
      <c r="E1228" s="12" t="s">
        <v>1960</v>
      </c>
      <c r="F1228" s="12"/>
      <c r="G1228" s="8"/>
      <c r="H1228" s="7" t="s">
        <v>799</v>
      </c>
      <c r="I1228" s="19" t="str">
        <f t="shared" si="133"/>
        <v>algae_nt_BCG_att123</v>
      </c>
      <c r="J1228" s="7"/>
      <c r="K1228" s="1" t="str">
        <f t="shared" si="126"/>
        <v>unclassified_algae</v>
      </c>
      <c r="L1228" s="1" t="s">
        <v>1565</v>
      </c>
      <c r="M1228" s="7"/>
      <c r="N1228" s="1" t="b">
        <v>0</v>
      </c>
    </row>
    <row r="1229" spans="1:14" hidden="1" x14ac:dyDescent="0.25">
      <c r="A1229" s="7" t="s">
        <v>96</v>
      </c>
      <c r="B1229" s="7" t="s">
        <v>576</v>
      </c>
      <c r="C1229" s="12" t="s">
        <v>180</v>
      </c>
      <c r="D1229" s="12"/>
      <c r="E1229" s="12" t="s">
        <v>1960</v>
      </c>
      <c r="F1229" s="12"/>
      <c r="G1229" s="8"/>
      <c r="H1229" s="7" t="s">
        <v>799</v>
      </c>
      <c r="I1229" s="19" t="str">
        <f t="shared" si="133"/>
        <v>algae_nt_BCG_att1i23</v>
      </c>
      <c r="J1229" s="7"/>
      <c r="K1229" s="1" t="str">
        <f t="shared" si="126"/>
        <v>unclassified_algae</v>
      </c>
      <c r="L1229" s="1" t="s">
        <v>1565</v>
      </c>
      <c r="M1229" s="7"/>
      <c r="N1229" s="1" t="b">
        <v>0</v>
      </c>
    </row>
    <row r="1230" spans="1:14" hidden="1" x14ac:dyDescent="0.25">
      <c r="A1230" s="7" t="s">
        <v>1696</v>
      </c>
      <c r="B1230" s="7" t="s">
        <v>1722</v>
      </c>
      <c r="C1230" s="12" t="s">
        <v>180</v>
      </c>
      <c r="D1230" s="12"/>
      <c r="E1230" s="12" t="s">
        <v>1960</v>
      </c>
      <c r="F1230" s="12"/>
      <c r="G1230" s="8"/>
      <c r="H1230" s="7" t="s">
        <v>799</v>
      </c>
      <c r="I1230" s="19" t="str">
        <f t="shared" si="133"/>
        <v>algae_nt_BCG_att1i236i</v>
      </c>
      <c r="J1230" s="7"/>
      <c r="K1230" s="1" t="str">
        <f t="shared" si="126"/>
        <v>unclassified_algae</v>
      </c>
      <c r="L1230" s="1" t="s">
        <v>1565</v>
      </c>
      <c r="M1230" s="7"/>
      <c r="N1230" s="1" t="b">
        <v>0</v>
      </c>
    </row>
    <row r="1231" spans="1:14" hidden="1" x14ac:dyDescent="0.25">
      <c r="A1231" s="7" t="s">
        <v>97</v>
      </c>
      <c r="B1231" s="7" t="s">
        <v>577</v>
      </c>
      <c r="C1231" s="12" t="s">
        <v>180</v>
      </c>
      <c r="D1231" s="12"/>
      <c r="E1231" s="12" t="s">
        <v>1960</v>
      </c>
      <c r="F1231" s="12"/>
      <c r="G1231" s="8"/>
      <c r="H1231" s="7" t="s">
        <v>799</v>
      </c>
      <c r="I1231" s="19" t="str">
        <f t="shared" si="133"/>
        <v>algae_nt_BCG_att2</v>
      </c>
      <c r="J1231" s="7"/>
      <c r="K1231" s="1" t="str">
        <f t="shared" si="126"/>
        <v>unclassified_algae</v>
      </c>
      <c r="L1231" s="1" t="s">
        <v>1565</v>
      </c>
      <c r="M1231" s="7"/>
      <c r="N1231" s="1" t="b">
        <v>0</v>
      </c>
    </row>
    <row r="1232" spans="1:14" hidden="1" x14ac:dyDescent="0.25">
      <c r="A1232" s="7" t="s">
        <v>98</v>
      </c>
      <c r="B1232" s="7" t="s">
        <v>578</v>
      </c>
      <c r="C1232" s="12" t="s">
        <v>180</v>
      </c>
      <c r="D1232" s="12"/>
      <c r="E1232" s="12" t="s">
        <v>1960</v>
      </c>
      <c r="F1232" s="12"/>
      <c r="G1232" s="8"/>
      <c r="H1232" s="7" t="s">
        <v>799</v>
      </c>
      <c r="I1232" s="19" t="str">
        <f t="shared" si="133"/>
        <v>algae_nt_BCG_att23</v>
      </c>
      <c r="J1232" s="7"/>
      <c r="K1232" s="1" t="str">
        <f t="shared" si="126"/>
        <v>unclassified_algae</v>
      </c>
      <c r="L1232" s="1" t="s">
        <v>1565</v>
      </c>
      <c r="M1232" s="7"/>
      <c r="N1232" s="1" t="b">
        <v>0</v>
      </c>
    </row>
    <row r="1233" spans="1:14" hidden="1" x14ac:dyDescent="0.25">
      <c r="A1233" s="7" t="s">
        <v>99</v>
      </c>
      <c r="B1233" s="7" t="s">
        <v>579</v>
      </c>
      <c r="C1233" s="12" t="s">
        <v>180</v>
      </c>
      <c r="D1233" s="12"/>
      <c r="E1233" s="12" t="s">
        <v>1960</v>
      </c>
      <c r="F1233" s="12"/>
      <c r="G1233" s="8"/>
      <c r="H1233" s="7" t="s">
        <v>799</v>
      </c>
      <c r="I1233" s="19" t="str">
        <f t="shared" si="133"/>
        <v>algae_nt_BCG_att234</v>
      </c>
      <c r="J1233" s="7"/>
      <c r="K1233" s="1" t="str">
        <f t="shared" si="126"/>
        <v>unclassified_algae</v>
      </c>
      <c r="L1233" s="1" t="s">
        <v>1565</v>
      </c>
      <c r="M1233" s="7"/>
      <c r="N1233" s="1" t="b">
        <v>0</v>
      </c>
    </row>
    <row r="1234" spans="1:14" hidden="1" x14ac:dyDescent="0.25">
      <c r="A1234" s="7" t="s">
        <v>156</v>
      </c>
      <c r="B1234" s="7" t="s">
        <v>580</v>
      </c>
      <c r="C1234" s="12" t="s">
        <v>180</v>
      </c>
      <c r="D1234" s="12"/>
      <c r="E1234" s="12" t="s">
        <v>1960</v>
      </c>
      <c r="F1234" s="12"/>
      <c r="G1234" s="8"/>
      <c r="H1234" s="7" t="s">
        <v>799</v>
      </c>
      <c r="I1234" s="19" t="str">
        <f t="shared" si="133"/>
        <v>algae_nt_BCG_att3</v>
      </c>
      <c r="J1234" s="7"/>
      <c r="K1234" s="1" t="str">
        <f t="shared" si="126"/>
        <v>unclassified_algae</v>
      </c>
      <c r="L1234" s="1" t="s">
        <v>1565</v>
      </c>
      <c r="M1234" s="7"/>
      <c r="N1234" s="1" t="b">
        <v>0</v>
      </c>
    </row>
    <row r="1235" spans="1:14" hidden="1" x14ac:dyDescent="0.25">
      <c r="A1235" s="7" t="s">
        <v>100</v>
      </c>
      <c r="B1235" s="7" t="s">
        <v>581</v>
      </c>
      <c r="C1235" s="12" t="s">
        <v>180</v>
      </c>
      <c r="D1235" s="12"/>
      <c r="E1235" s="12" t="s">
        <v>1960</v>
      </c>
      <c r="F1235" s="12"/>
      <c r="G1235" s="8"/>
      <c r="H1235" s="7" t="s">
        <v>799</v>
      </c>
      <c r="I1235" s="19" t="str">
        <f t="shared" si="133"/>
        <v>algae_nt_BCG_att4</v>
      </c>
      <c r="J1235" s="7"/>
      <c r="K1235" s="1" t="str">
        <f t="shared" si="126"/>
        <v>unclassified_algae</v>
      </c>
      <c r="L1235" s="1" t="s">
        <v>1565</v>
      </c>
      <c r="M1235" s="7"/>
      <c r="N1235" s="1" t="b">
        <v>0</v>
      </c>
    </row>
    <row r="1236" spans="1:14" hidden="1" x14ac:dyDescent="0.25">
      <c r="A1236" s="7" t="s">
        <v>101</v>
      </c>
      <c r="B1236" s="7" t="s">
        <v>582</v>
      </c>
      <c r="C1236" s="12" t="s">
        <v>180</v>
      </c>
      <c r="D1236" s="12"/>
      <c r="E1236" s="12" t="s">
        <v>1960</v>
      </c>
      <c r="F1236" s="12"/>
      <c r="G1236" s="8"/>
      <c r="H1236" s="7" t="s">
        <v>799</v>
      </c>
      <c r="I1236" s="19" t="str">
        <f t="shared" si="133"/>
        <v>algae_nt_BCG_att45</v>
      </c>
      <c r="J1236" s="7"/>
      <c r="K1236" s="1" t="str">
        <f t="shared" si="126"/>
        <v>unclassified_algae</v>
      </c>
      <c r="L1236" s="1" t="s">
        <v>1565</v>
      </c>
      <c r="M1236" s="7"/>
      <c r="N1236" s="1" t="b">
        <v>0</v>
      </c>
    </row>
    <row r="1237" spans="1:14" hidden="1" x14ac:dyDescent="0.25">
      <c r="A1237" s="7" t="s">
        <v>1372</v>
      </c>
      <c r="B1237" s="7" t="s">
        <v>1377</v>
      </c>
      <c r="C1237" s="12" t="s">
        <v>180</v>
      </c>
      <c r="D1237" s="12"/>
      <c r="E1237" s="12" t="s">
        <v>1960</v>
      </c>
      <c r="F1237" s="12"/>
      <c r="G1237" s="8"/>
      <c r="H1237" s="7" t="s">
        <v>799</v>
      </c>
      <c r="I1237" s="19" t="str">
        <f t="shared" si="133"/>
        <v>algae_nt_BCG_att456</v>
      </c>
      <c r="J1237" s="7"/>
      <c r="K1237" s="1" t="str">
        <f t="shared" si="126"/>
        <v>unclassified_algae</v>
      </c>
      <c r="L1237" s="1" t="s">
        <v>1565</v>
      </c>
      <c r="M1237" s="7"/>
      <c r="N1237" s="1" t="b">
        <v>0</v>
      </c>
    </row>
    <row r="1238" spans="1:14" hidden="1" x14ac:dyDescent="0.25">
      <c r="A1238" s="7" t="s">
        <v>102</v>
      </c>
      <c r="B1238" s="7" t="s">
        <v>583</v>
      </c>
      <c r="C1238" s="12" t="s">
        <v>180</v>
      </c>
      <c r="D1238" s="12"/>
      <c r="E1238" s="12" t="s">
        <v>1960</v>
      </c>
      <c r="F1238" s="12"/>
      <c r="G1238" s="8"/>
      <c r="H1238" s="7" t="s">
        <v>799</v>
      </c>
      <c r="I1238" s="19" t="str">
        <f t="shared" si="133"/>
        <v>algae_nt_BCG_att5</v>
      </c>
      <c r="J1238" s="7"/>
      <c r="K1238" s="1" t="str">
        <f t="shared" si="126"/>
        <v>unclassified_algae</v>
      </c>
      <c r="L1238" s="1" t="s">
        <v>1565</v>
      </c>
      <c r="M1238" s="7"/>
      <c r="N1238" s="1" t="b">
        <v>0</v>
      </c>
    </row>
    <row r="1239" spans="1:14" hidden="1" x14ac:dyDescent="0.25">
      <c r="A1239" s="7" t="s">
        <v>103</v>
      </c>
      <c r="B1239" s="7" t="s">
        <v>584</v>
      </c>
      <c r="C1239" s="12" t="s">
        <v>180</v>
      </c>
      <c r="D1239" s="12"/>
      <c r="E1239" s="12" t="s">
        <v>1960</v>
      </c>
      <c r="F1239" s="12"/>
      <c r="G1239" s="8"/>
      <c r="H1239" s="7" t="s">
        <v>799</v>
      </c>
      <c r="I1239" s="19" t="str">
        <f t="shared" si="133"/>
        <v>algae_nt_BCG_att56</v>
      </c>
      <c r="J1239" s="7"/>
      <c r="K1239" s="1" t="str">
        <f t="shared" si="126"/>
        <v>unclassified_algae</v>
      </c>
      <c r="L1239" s="1" t="s">
        <v>1565</v>
      </c>
      <c r="M1239" s="7"/>
      <c r="N1239" s="1" t="b">
        <v>0</v>
      </c>
    </row>
    <row r="1240" spans="1:14" hidden="1" x14ac:dyDescent="0.25">
      <c r="A1240" s="7" t="s">
        <v>1697</v>
      </c>
      <c r="B1240" s="7" t="s">
        <v>1723</v>
      </c>
      <c r="C1240" s="12" t="s">
        <v>180</v>
      </c>
      <c r="D1240" s="12"/>
      <c r="E1240" s="12" t="s">
        <v>1960</v>
      </c>
      <c r="F1240" s="12"/>
      <c r="G1240" s="8"/>
      <c r="H1240" s="7" t="s">
        <v>799</v>
      </c>
      <c r="I1240" s="19" t="str">
        <f t="shared" si="133"/>
        <v>algae_nt_BCG_att56t</v>
      </c>
      <c r="J1240" s="7"/>
      <c r="K1240" s="1" t="str">
        <f t="shared" si="126"/>
        <v>unclassified_algae</v>
      </c>
      <c r="L1240" s="1" t="s">
        <v>1565</v>
      </c>
      <c r="M1240" s="7"/>
      <c r="N1240" s="1" t="b">
        <v>0</v>
      </c>
    </row>
    <row r="1241" spans="1:14" hidden="1" x14ac:dyDescent="0.25">
      <c r="A1241" s="7" t="s">
        <v>104</v>
      </c>
      <c r="B1241" s="7" t="s">
        <v>585</v>
      </c>
      <c r="C1241" s="12" t="s">
        <v>180</v>
      </c>
      <c r="D1241" s="12"/>
      <c r="E1241" s="12" t="s">
        <v>1960</v>
      </c>
      <c r="F1241" s="12"/>
      <c r="G1241" s="8"/>
      <c r="H1241" s="7" t="s">
        <v>799</v>
      </c>
      <c r="I1241" s="19" t="str">
        <f t="shared" si="133"/>
        <v>algae_nt_BCG_att6</v>
      </c>
      <c r="J1241" s="7"/>
      <c r="K1241" s="1" t="str">
        <f t="shared" si="126"/>
        <v>unclassified_algae</v>
      </c>
      <c r="L1241" s="1" t="s">
        <v>1565</v>
      </c>
      <c r="M1241" s="7"/>
      <c r="N1241" s="1" t="b">
        <v>0</v>
      </c>
    </row>
    <row r="1242" spans="1:14" hidden="1" x14ac:dyDescent="0.25">
      <c r="A1242" s="7" t="s">
        <v>1698</v>
      </c>
      <c r="B1242" s="7" t="s">
        <v>1724</v>
      </c>
      <c r="C1242" s="12" t="s">
        <v>180</v>
      </c>
      <c r="D1242" s="12"/>
      <c r="E1242" s="12" t="s">
        <v>1960</v>
      </c>
      <c r="F1242" s="12"/>
      <c r="G1242" s="8"/>
      <c r="H1242" s="7" t="s">
        <v>799</v>
      </c>
      <c r="I1242" s="19" t="str">
        <f t="shared" si="133"/>
        <v>algae_nt_BCG_att6i</v>
      </c>
      <c r="J1242" s="7"/>
      <c r="K1242" s="1" t="str">
        <f t="shared" si="126"/>
        <v>unclassified_algae</v>
      </c>
      <c r="L1242" s="1" t="s">
        <v>1565</v>
      </c>
      <c r="M1242" s="7"/>
      <c r="N1242" s="1" t="b">
        <v>0</v>
      </c>
    </row>
    <row r="1243" spans="1:14" hidden="1" x14ac:dyDescent="0.25">
      <c r="A1243" s="7" t="s">
        <v>1699</v>
      </c>
      <c r="B1243" s="7" t="s">
        <v>1725</v>
      </c>
      <c r="C1243" s="12" t="s">
        <v>180</v>
      </c>
      <c r="D1243" s="12"/>
      <c r="E1243" s="12" t="s">
        <v>1960</v>
      </c>
      <c r="F1243" s="12"/>
      <c r="G1243" s="8"/>
      <c r="H1243" s="7" t="s">
        <v>799</v>
      </c>
      <c r="I1243" s="19" t="str">
        <f t="shared" si="133"/>
        <v>algae_nt_BCG_att6m</v>
      </c>
      <c r="J1243" s="7"/>
      <c r="K1243" s="1" t="str">
        <f t="shared" si="126"/>
        <v>unclassified_algae</v>
      </c>
      <c r="L1243" s="1" t="s">
        <v>1565</v>
      </c>
      <c r="M1243" s="7"/>
      <c r="N1243" s="1" t="b">
        <v>0</v>
      </c>
    </row>
    <row r="1244" spans="1:14" hidden="1" x14ac:dyDescent="0.25">
      <c r="A1244" s="7" t="s">
        <v>1700</v>
      </c>
      <c r="B1244" s="7" t="s">
        <v>1726</v>
      </c>
      <c r="C1244" s="12" t="s">
        <v>180</v>
      </c>
      <c r="D1244" s="12"/>
      <c r="E1244" s="12" t="s">
        <v>1960</v>
      </c>
      <c r="F1244" s="12"/>
      <c r="G1244" s="8"/>
      <c r="H1244" s="7" t="s">
        <v>799</v>
      </c>
      <c r="I1244" s="19" t="str">
        <f t="shared" si="133"/>
        <v>algae_nt_BCG_att6t</v>
      </c>
      <c r="J1244" s="7"/>
      <c r="K1244" s="1" t="str">
        <f t="shared" si="126"/>
        <v>unclassified_algae</v>
      </c>
      <c r="L1244" s="1" t="s">
        <v>1565</v>
      </c>
      <c r="M1244" s="7"/>
      <c r="N1244" s="1" t="b">
        <v>0</v>
      </c>
    </row>
    <row r="1245" spans="1:14" hidden="1" x14ac:dyDescent="0.25">
      <c r="A1245" s="7" t="s">
        <v>418</v>
      </c>
      <c r="B1245" s="7" t="s">
        <v>586</v>
      </c>
      <c r="C1245" s="12" t="s">
        <v>180</v>
      </c>
      <c r="D1245" s="12"/>
      <c r="E1245" s="12" t="s">
        <v>1960</v>
      </c>
      <c r="F1245" s="12"/>
      <c r="G1245" s="8"/>
      <c r="H1245" s="7" t="s">
        <v>799</v>
      </c>
      <c r="I1245" s="19" t="str">
        <f t="shared" si="133"/>
        <v>algae_nt_BCG_attNA</v>
      </c>
      <c r="J1245" s="7"/>
      <c r="K1245" s="1" t="str">
        <f t="shared" si="126"/>
        <v>unclassified_algae</v>
      </c>
      <c r="L1245" s="1" t="s">
        <v>1565</v>
      </c>
      <c r="M1245" s="7"/>
      <c r="N1245" s="1" t="b">
        <v>0</v>
      </c>
    </row>
    <row r="1246" spans="1:14" hidden="1" x14ac:dyDescent="0.25">
      <c r="A1246" s="7" t="s">
        <v>1786</v>
      </c>
      <c r="B1246" s="7" t="s">
        <v>1788</v>
      </c>
      <c r="C1246" s="12" t="s">
        <v>1806</v>
      </c>
      <c r="D1246" s="12"/>
      <c r="E1246" s="12" t="s">
        <v>1960</v>
      </c>
      <c r="F1246" s="12"/>
      <c r="G1246" s="8"/>
      <c r="H1246" s="7" t="s">
        <v>799</v>
      </c>
      <c r="I1246" s="19" t="str">
        <f t="shared" si="133"/>
        <v>algae_nt_BCG_att4b</v>
      </c>
      <c r="J1246" s="7"/>
      <c r="K1246" s="1" t="str">
        <f t="shared" si="126"/>
        <v>unclassified_algae</v>
      </c>
      <c r="L1246" s="1" t="s">
        <v>1565</v>
      </c>
      <c r="M1246" s="7"/>
      <c r="N1246" s="1" t="b">
        <v>0</v>
      </c>
    </row>
    <row r="1247" spans="1:14" hidden="1" x14ac:dyDescent="0.25">
      <c r="A1247" s="7" t="s">
        <v>1802</v>
      </c>
      <c r="B1247" s="7" t="s">
        <v>1808</v>
      </c>
      <c r="C1247" s="12" t="s">
        <v>1806</v>
      </c>
      <c r="D1247" s="12"/>
      <c r="E1247" s="12" t="s">
        <v>1960</v>
      </c>
      <c r="F1247" s="12"/>
      <c r="G1247" s="8"/>
      <c r="H1247" s="7" t="s">
        <v>799</v>
      </c>
      <c r="I1247" s="19" t="str">
        <f t="shared" si="133"/>
        <v>algae_nt_BCG_att4m</v>
      </c>
      <c r="J1247" s="7"/>
      <c r="K1247" s="1" t="str">
        <f t="shared" si="126"/>
        <v>unclassified_algae</v>
      </c>
      <c r="L1247" s="1" t="s">
        <v>1565</v>
      </c>
      <c r="M1247" s="7"/>
      <c r="N1247" s="1" t="b">
        <v>0</v>
      </c>
    </row>
    <row r="1248" spans="1:14" hidden="1" x14ac:dyDescent="0.25">
      <c r="A1248" s="7" t="s">
        <v>1787</v>
      </c>
      <c r="B1248" s="7" t="s">
        <v>1789</v>
      </c>
      <c r="C1248" s="12" t="s">
        <v>1806</v>
      </c>
      <c r="D1248" s="12"/>
      <c r="E1248" s="12" t="s">
        <v>1960</v>
      </c>
      <c r="F1248" s="12"/>
      <c r="G1248" s="8"/>
      <c r="H1248" s="7" t="s">
        <v>799</v>
      </c>
      <c r="I1248" s="19" t="str">
        <f t="shared" si="133"/>
        <v>algae_nt_BCG_att4w</v>
      </c>
      <c r="J1248" s="7"/>
      <c r="K1248" s="1" t="str">
        <f t="shared" si="126"/>
        <v>unclassified_algae</v>
      </c>
      <c r="L1248" s="1" t="s">
        <v>1565</v>
      </c>
      <c r="M1248" s="7"/>
      <c r="N1248" s="1" t="b">
        <v>0</v>
      </c>
    </row>
    <row r="1249" spans="1:14" hidden="1" x14ac:dyDescent="0.25">
      <c r="A1249" s="7" t="s">
        <v>1813</v>
      </c>
      <c r="B1249" s="7" t="s">
        <v>1810</v>
      </c>
      <c r="C1249" s="12" t="s">
        <v>1807</v>
      </c>
      <c r="D1249" s="12"/>
      <c r="E1249" s="12" t="s">
        <v>1960</v>
      </c>
      <c r="F1249" s="12"/>
      <c r="G1249" s="8"/>
      <c r="H1249" s="7" t="s">
        <v>799</v>
      </c>
      <c r="I1249" s="19" t="str">
        <f t="shared" si="133"/>
        <v>algae_nt_BCG_att1i234b</v>
      </c>
      <c r="J1249" s="7"/>
      <c r="K1249" s="1" t="str">
        <f t="shared" si="126"/>
        <v>unclassified_algae</v>
      </c>
      <c r="L1249" s="1" t="s">
        <v>1565</v>
      </c>
      <c r="M1249" s="7"/>
      <c r="N1249" s="1" t="b">
        <v>0</v>
      </c>
    </row>
    <row r="1250" spans="1:14" hidden="1" x14ac:dyDescent="0.25">
      <c r="A1250" s="7" t="s">
        <v>1816</v>
      </c>
      <c r="B1250" s="7" t="s">
        <v>1821</v>
      </c>
      <c r="C1250" s="12" t="s">
        <v>1807</v>
      </c>
      <c r="D1250" s="12"/>
      <c r="E1250" s="12" t="s">
        <v>1960</v>
      </c>
      <c r="F1250" s="12"/>
      <c r="G1250" s="8"/>
      <c r="H1250" s="7" t="s">
        <v>799</v>
      </c>
      <c r="I1250" s="19" t="str">
        <f t="shared" si="133"/>
        <v>algae_nt_BCG_att4w5</v>
      </c>
      <c r="J1250" s="7"/>
      <c r="K1250" s="1" t="str">
        <f t="shared" si="126"/>
        <v>unclassified_algae</v>
      </c>
      <c r="L1250" s="1" t="s">
        <v>1565</v>
      </c>
      <c r="M1250" s="7"/>
      <c r="N1250" s="1" t="b">
        <v>0</v>
      </c>
    </row>
    <row r="1251" spans="1:14" hidden="1" x14ac:dyDescent="0.25">
      <c r="A1251" s="7" t="s">
        <v>634</v>
      </c>
      <c r="B1251" s="7" t="s">
        <v>633</v>
      </c>
      <c r="C1251" s="12" t="s">
        <v>180</v>
      </c>
      <c r="D1251" s="12"/>
      <c r="E1251" s="12" t="s">
        <v>1960</v>
      </c>
      <c r="F1251" s="12"/>
      <c r="G1251" s="8"/>
      <c r="H1251" s="7" t="s">
        <v>799</v>
      </c>
      <c r="I1251" s="19" t="str">
        <f t="shared" si="133"/>
        <v>algae_pi_BCG_att1</v>
      </c>
      <c r="J1251" s="7"/>
      <c r="K1251" s="1" t="str">
        <f t="shared" si="126"/>
        <v>unclassified_algae</v>
      </c>
      <c r="L1251" s="1" t="s">
        <v>1565</v>
      </c>
      <c r="M1251" s="7"/>
      <c r="N1251" s="1" t="b">
        <v>0</v>
      </c>
    </row>
    <row r="1252" spans="1:14" hidden="1" x14ac:dyDescent="0.25">
      <c r="A1252" s="7" t="s">
        <v>157</v>
      </c>
      <c r="B1252" s="7" t="s">
        <v>1692</v>
      </c>
      <c r="C1252" s="12" t="s">
        <v>180</v>
      </c>
      <c r="D1252" s="12"/>
      <c r="E1252" s="12" t="s">
        <v>1960</v>
      </c>
      <c r="F1252" s="12"/>
      <c r="G1252" s="8"/>
      <c r="H1252" s="7" t="s">
        <v>799</v>
      </c>
      <c r="I1252" s="19" t="str">
        <f t="shared" si="133"/>
        <v>algae_pi_BCG_att1i</v>
      </c>
      <c r="J1252" s="7"/>
      <c r="K1252" s="1" t="str">
        <f t="shared" si="126"/>
        <v>unclassified_algae</v>
      </c>
      <c r="L1252" s="1" t="s">
        <v>1565</v>
      </c>
      <c r="M1252" s="7"/>
      <c r="N1252" s="1" t="b">
        <v>0</v>
      </c>
    </row>
    <row r="1253" spans="1:14" hidden="1" x14ac:dyDescent="0.25">
      <c r="A1253" s="7" t="s">
        <v>158</v>
      </c>
      <c r="B1253" s="7" t="s">
        <v>1691</v>
      </c>
      <c r="C1253" s="12" t="s">
        <v>180</v>
      </c>
      <c r="D1253" s="12"/>
      <c r="E1253" s="12" t="s">
        <v>1960</v>
      </c>
      <c r="F1253" s="12"/>
      <c r="G1253" s="8"/>
      <c r="H1253" s="7" t="s">
        <v>799</v>
      </c>
      <c r="I1253" s="19" t="str">
        <f t="shared" si="133"/>
        <v>algae_pi_BCG_att1m</v>
      </c>
      <c r="J1253" s="7"/>
      <c r="K1253" s="1" t="str">
        <f t="shared" si="126"/>
        <v>unclassified_algae</v>
      </c>
      <c r="L1253" s="1" t="s">
        <v>1565</v>
      </c>
      <c r="M1253" s="7"/>
      <c r="N1253" s="1" t="b">
        <v>0</v>
      </c>
    </row>
    <row r="1254" spans="1:14" hidden="1" x14ac:dyDescent="0.25">
      <c r="A1254" s="7" t="s">
        <v>107</v>
      </c>
      <c r="B1254" s="7" t="s">
        <v>338</v>
      </c>
      <c r="C1254" s="12" t="s">
        <v>180</v>
      </c>
      <c r="D1254" s="12"/>
      <c r="E1254" s="12" t="s">
        <v>1960</v>
      </c>
      <c r="F1254" s="12"/>
      <c r="G1254" s="8"/>
      <c r="H1254" s="7" t="s">
        <v>799</v>
      </c>
      <c r="I1254" s="19" t="str">
        <f t="shared" si="133"/>
        <v>algae_pi_BCG_att12</v>
      </c>
      <c r="J1254" s="7"/>
      <c r="K1254" s="1" t="str">
        <f t="shared" si="126"/>
        <v>unclassified_algae</v>
      </c>
      <c r="L1254" s="1" t="s">
        <v>1565</v>
      </c>
      <c r="M1254" s="7"/>
      <c r="N1254" s="1" t="b">
        <v>0</v>
      </c>
    </row>
    <row r="1255" spans="1:14" hidden="1" x14ac:dyDescent="0.25">
      <c r="A1255" s="7" t="s">
        <v>108</v>
      </c>
      <c r="B1255" s="7" t="s">
        <v>339</v>
      </c>
      <c r="C1255" s="12" t="s">
        <v>180</v>
      </c>
      <c r="D1255" s="12"/>
      <c r="E1255" s="12" t="s">
        <v>1960</v>
      </c>
      <c r="F1255" s="12"/>
      <c r="G1255" s="8"/>
      <c r="H1255" s="7" t="s">
        <v>799</v>
      </c>
      <c r="I1255" s="19" t="str">
        <f t="shared" si="133"/>
        <v>algae_pi_BCG_att1i2</v>
      </c>
      <c r="J1255" s="7"/>
      <c r="K1255" s="1" t="str">
        <f t="shared" si="126"/>
        <v>unclassified_algae</v>
      </c>
      <c r="L1255" s="1" t="s">
        <v>1565</v>
      </c>
      <c r="M1255" s="7"/>
      <c r="N1255" s="1" t="b">
        <v>0</v>
      </c>
    </row>
    <row r="1256" spans="1:14" hidden="1" x14ac:dyDescent="0.25">
      <c r="A1256" s="7" t="s">
        <v>109</v>
      </c>
      <c r="B1256" s="7" t="s">
        <v>340</v>
      </c>
      <c r="C1256" s="12" t="s">
        <v>180</v>
      </c>
      <c r="D1256" s="12"/>
      <c r="E1256" s="12" t="s">
        <v>1960</v>
      </c>
      <c r="F1256" s="12"/>
      <c r="G1256" s="8"/>
      <c r="H1256" s="7" t="s">
        <v>799</v>
      </c>
      <c r="I1256" s="19" t="str">
        <f t="shared" si="133"/>
        <v>algae_pi_BCG_att123</v>
      </c>
      <c r="J1256" s="7"/>
      <c r="K1256" s="1" t="str">
        <f t="shared" si="126"/>
        <v>unclassified_algae</v>
      </c>
      <c r="L1256" s="1" t="s">
        <v>1565</v>
      </c>
      <c r="M1256" s="7"/>
      <c r="N1256" s="1" t="b">
        <v>0</v>
      </c>
    </row>
    <row r="1257" spans="1:14" hidden="1" x14ac:dyDescent="0.25">
      <c r="A1257" s="7" t="s">
        <v>110</v>
      </c>
      <c r="B1257" s="7" t="s">
        <v>341</v>
      </c>
      <c r="C1257" s="12" t="s">
        <v>180</v>
      </c>
      <c r="D1257" s="12"/>
      <c r="E1257" s="12" t="s">
        <v>1960</v>
      </c>
      <c r="F1257" s="12"/>
      <c r="G1257" s="8"/>
      <c r="H1257" s="7" t="s">
        <v>799</v>
      </c>
      <c r="I1257" s="19" t="str">
        <f t="shared" si="133"/>
        <v>algae_pi_BCG_att1i23</v>
      </c>
      <c r="J1257" s="7"/>
      <c r="K1257" s="1" t="str">
        <f t="shared" si="126"/>
        <v>unclassified_algae</v>
      </c>
      <c r="L1257" s="1" t="s">
        <v>1565</v>
      </c>
      <c r="M1257" s="7"/>
      <c r="N1257" s="1" t="b">
        <v>0</v>
      </c>
    </row>
    <row r="1258" spans="1:14" hidden="1" x14ac:dyDescent="0.25">
      <c r="A1258" s="7" t="s">
        <v>1701</v>
      </c>
      <c r="B1258" s="7" t="s">
        <v>1727</v>
      </c>
      <c r="C1258" s="12" t="s">
        <v>180</v>
      </c>
      <c r="D1258" s="12"/>
      <c r="E1258" s="12" t="s">
        <v>1960</v>
      </c>
      <c r="F1258" s="12"/>
      <c r="G1258" s="8"/>
      <c r="H1258" s="7" t="s">
        <v>799</v>
      </c>
      <c r="I1258" s="19" t="str">
        <f t="shared" si="133"/>
        <v>algae_pi_BCG_att1i236i</v>
      </c>
      <c r="J1258" s="7"/>
      <c r="K1258" s="1" t="str">
        <f t="shared" si="126"/>
        <v>unclassified_algae</v>
      </c>
      <c r="L1258" s="1" t="s">
        <v>1565</v>
      </c>
      <c r="M1258" s="7"/>
      <c r="N1258" s="1" t="b">
        <v>0</v>
      </c>
    </row>
    <row r="1259" spans="1:14" hidden="1" x14ac:dyDescent="0.25">
      <c r="A1259" s="7" t="s">
        <v>159</v>
      </c>
      <c r="B1259" s="7" t="s">
        <v>342</v>
      </c>
      <c r="C1259" s="12" t="s">
        <v>180</v>
      </c>
      <c r="D1259" s="12"/>
      <c r="E1259" s="12" t="s">
        <v>1960</v>
      </c>
      <c r="F1259" s="12"/>
      <c r="G1259" s="8"/>
      <c r="H1259" s="7" t="s">
        <v>799</v>
      </c>
      <c r="I1259" s="19" t="str">
        <f t="shared" si="133"/>
        <v>algae_pi_BCG_att2</v>
      </c>
      <c r="J1259" s="7"/>
      <c r="K1259" s="1" t="str">
        <f t="shared" si="126"/>
        <v>unclassified_algae</v>
      </c>
      <c r="L1259" s="1" t="s">
        <v>1565</v>
      </c>
      <c r="M1259" s="7"/>
      <c r="N1259" s="1" t="b">
        <v>0</v>
      </c>
    </row>
    <row r="1260" spans="1:14" hidden="1" x14ac:dyDescent="0.25">
      <c r="A1260" s="7" t="s">
        <v>111</v>
      </c>
      <c r="B1260" s="7" t="s">
        <v>343</v>
      </c>
      <c r="C1260" s="12" t="s">
        <v>180</v>
      </c>
      <c r="D1260" s="12"/>
      <c r="E1260" s="12" t="s">
        <v>1960</v>
      </c>
      <c r="F1260" s="12"/>
      <c r="G1260" s="8"/>
      <c r="H1260" s="7" t="s">
        <v>799</v>
      </c>
      <c r="I1260" s="19" t="str">
        <f t="shared" si="133"/>
        <v>algae_pi_BCG_att23</v>
      </c>
      <c r="J1260" s="7"/>
      <c r="K1260" s="1" t="str">
        <f t="shared" si="126"/>
        <v>unclassified_algae</v>
      </c>
      <c r="L1260" s="1" t="s">
        <v>1565</v>
      </c>
      <c r="M1260" s="7"/>
      <c r="N1260" s="1" t="b">
        <v>0</v>
      </c>
    </row>
    <row r="1261" spans="1:14" hidden="1" x14ac:dyDescent="0.25">
      <c r="A1261" s="7" t="s">
        <v>112</v>
      </c>
      <c r="B1261" s="7" t="s">
        <v>344</v>
      </c>
      <c r="C1261" s="12" t="s">
        <v>180</v>
      </c>
      <c r="D1261" s="12"/>
      <c r="E1261" s="12" t="s">
        <v>1960</v>
      </c>
      <c r="F1261" s="12"/>
      <c r="G1261" s="8"/>
      <c r="H1261" s="7" t="s">
        <v>799</v>
      </c>
      <c r="I1261" s="19" t="str">
        <f t="shared" si="133"/>
        <v>algae_pi_BCG_att234</v>
      </c>
      <c r="J1261" s="7"/>
      <c r="K1261" s="1" t="str">
        <f t="shared" si="126"/>
        <v>unclassified_algae</v>
      </c>
      <c r="L1261" s="1" t="s">
        <v>1565</v>
      </c>
      <c r="M1261" s="7"/>
      <c r="N1261" s="1" t="b">
        <v>0</v>
      </c>
    </row>
    <row r="1262" spans="1:14" hidden="1" x14ac:dyDescent="0.25">
      <c r="A1262" s="7" t="s">
        <v>160</v>
      </c>
      <c r="B1262" s="7" t="s">
        <v>345</v>
      </c>
      <c r="C1262" s="12" t="s">
        <v>180</v>
      </c>
      <c r="D1262" s="12"/>
      <c r="E1262" s="12" t="s">
        <v>1960</v>
      </c>
      <c r="F1262" s="12"/>
      <c r="G1262" s="8"/>
      <c r="H1262" s="7" t="s">
        <v>799</v>
      </c>
      <c r="I1262" s="19" t="str">
        <f t="shared" si="133"/>
        <v>algae_pi_BCG_att3</v>
      </c>
      <c r="J1262" s="7"/>
      <c r="K1262" s="1" t="str">
        <f t="shared" si="126"/>
        <v>unclassified_algae</v>
      </c>
      <c r="L1262" s="1" t="s">
        <v>1565</v>
      </c>
      <c r="M1262" s="7"/>
      <c r="N1262" s="1" t="b">
        <v>0</v>
      </c>
    </row>
    <row r="1263" spans="1:14" hidden="1" x14ac:dyDescent="0.25">
      <c r="A1263" s="7" t="s">
        <v>113</v>
      </c>
      <c r="B1263" s="7" t="s">
        <v>346</v>
      </c>
      <c r="C1263" s="12" t="s">
        <v>180</v>
      </c>
      <c r="D1263" s="12"/>
      <c r="E1263" s="12" t="s">
        <v>1960</v>
      </c>
      <c r="F1263" s="12"/>
      <c r="G1263" s="8"/>
      <c r="H1263" s="7" t="s">
        <v>799</v>
      </c>
      <c r="I1263" s="19" t="str">
        <f t="shared" si="133"/>
        <v>algae_pi_BCG_att4</v>
      </c>
      <c r="J1263" s="7"/>
      <c r="K1263" s="1" t="str">
        <f t="shared" si="126"/>
        <v>unclassified_algae</v>
      </c>
      <c r="L1263" s="1" t="s">
        <v>1565</v>
      </c>
      <c r="M1263" s="7"/>
      <c r="N1263" s="1" t="b">
        <v>0</v>
      </c>
    </row>
    <row r="1264" spans="1:14" hidden="1" x14ac:dyDescent="0.25">
      <c r="A1264" s="7" t="s">
        <v>114</v>
      </c>
      <c r="B1264" s="7" t="s">
        <v>347</v>
      </c>
      <c r="C1264" s="12" t="s">
        <v>180</v>
      </c>
      <c r="D1264" s="12"/>
      <c r="E1264" s="12" t="s">
        <v>1960</v>
      </c>
      <c r="F1264" s="12"/>
      <c r="G1264" s="8"/>
      <c r="H1264" s="7" t="s">
        <v>799</v>
      </c>
      <c r="I1264" s="19" t="str">
        <f t="shared" si="133"/>
        <v>algae_pi_BCG_att45</v>
      </c>
      <c r="J1264" s="7"/>
      <c r="K1264" s="1" t="str">
        <f t="shared" si="126"/>
        <v>unclassified_algae</v>
      </c>
      <c r="L1264" s="1" t="s">
        <v>1565</v>
      </c>
      <c r="M1264" s="7"/>
      <c r="N1264" s="1" t="b">
        <v>0</v>
      </c>
    </row>
    <row r="1265" spans="1:14" hidden="1" x14ac:dyDescent="0.25">
      <c r="A1265" s="7" t="s">
        <v>1373</v>
      </c>
      <c r="B1265" s="7" t="s">
        <v>1376</v>
      </c>
      <c r="C1265" s="12" t="s">
        <v>180</v>
      </c>
      <c r="D1265" s="12"/>
      <c r="E1265" s="12" t="s">
        <v>1960</v>
      </c>
      <c r="F1265" s="12"/>
      <c r="G1265" s="8"/>
      <c r="H1265" s="7" t="s">
        <v>799</v>
      </c>
      <c r="I1265" s="19" t="str">
        <f t="shared" si="133"/>
        <v>algae_pi_BCG_att456</v>
      </c>
      <c r="J1265" s="7"/>
      <c r="K1265" s="1" t="str">
        <f t="shared" si="126"/>
        <v>unclassified_algae</v>
      </c>
      <c r="L1265" s="1" t="s">
        <v>1565</v>
      </c>
      <c r="M1265" s="7"/>
      <c r="N1265" s="1" t="b">
        <v>0</v>
      </c>
    </row>
    <row r="1266" spans="1:14" hidden="1" x14ac:dyDescent="0.25">
      <c r="A1266" s="7" t="s">
        <v>115</v>
      </c>
      <c r="B1266" s="7" t="s">
        <v>348</v>
      </c>
      <c r="C1266" s="12" t="s">
        <v>180</v>
      </c>
      <c r="D1266" s="12"/>
      <c r="E1266" s="12" t="s">
        <v>1960</v>
      </c>
      <c r="F1266" s="12"/>
      <c r="G1266" s="8"/>
      <c r="H1266" s="7" t="s">
        <v>799</v>
      </c>
      <c r="I1266" s="19" t="str">
        <f t="shared" si="133"/>
        <v>algae_pi_BCG_att5</v>
      </c>
      <c r="J1266" s="7"/>
      <c r="K1266" s="1" t="str">
        <f t="shared" si="126"/>
        <v>unclassified_algae</v>
      </c>
      <c r="L1266" s="1" t="s">
        <v>1565</v>
      </c>
      <c r="M1266" s="7"/>
      <c r="N1266" s="1" t="b">
        <v>0</v>
      </c>
    </row>
    <row r="1267" spans="1:14" hidden="1" x14ac:dyDescent="0.25">
      <c r="A1267" s="7" t="s">
        <v>116</v>
      </c>
      <c r="B1267" s="7" t="s">
        <v>349</v>
      </c>
      <c r="C1267" s="12" t="s">
        <v>180</v>
      </c>
      <c r="D1267" s="12"/>
      <c r="E1267" s="12" t="s">
        <v>1960</v>
      </c>
      <c r="F1267" s="12"/>
      <c r="G1267" s="8"/>
      <c r="H1267" s="7" t="s">
        <v>799</v>
      </c>
      <c r="I1267" s="19" t="str">
        <f t="shared" si="133"/>
        <v>algae_pi_BCG_att56</v>
      </c>
      <c r="J1267" s="7"/>
      <c r="K1267" s="1" t="str">
        <f t="shared" ref="K1267:K1307" si="135">"unclassified_"&amp;H1267</f>
        <v>unclassified_algae</v>
      </c>
      <c r="L1267" s="1" t="s">
        <v>1565</v>
      </c>
      <c r="M1267" s="7"/>
      <c r="N1267" s="1" t="b">
        <v>0</v>
      </c>
    </row>
    <row r="1268" spans="1:14" hidden="1" x14ac:dyDescent="0.25">
      <c r="A1268" s="7" t="s">
        <v>1702</v>
      </c>
      <c r="B1268" s="7" t="s">
        <v>1719</v>
      </c>
      <c r="C1268" s="12" t="s">
        <v>180</v>
      </c>
      <c r="D1268" s="12"/>
      <c r="E1268" s="12" t="s">
        <v>1960</v>
      </c>
      <c r="F1268" s="12"/>
      <c r="G1268" s="8"/>
      <c r="H1268" s="7" t="s">
        <v>799</v>
      </c>
      <c r="I1268" s="19" t="str">
        <f t="shared" si="133"/>
        <v>algae_pi_BCG_att56t</v>
      </c>
      <c r="J1268" s="7"/>
      <c r="K1268" s="1" t="str">
        <f t="shared" si="135"/>
        <v>unclassified_algae</v>
      </c>
      <c r="L1268" s="1" t="s">
        <v>1565</v>
      </c>
      <c r="M1268" s="7"/>
      <c r="N1268" s="1" t="b">
        <v>0</v>
      </c>
    </row>
    <row r="1269" spans="1:14" hidden="1" x14ac:dyDescent="0.25">
      <c r="A1269" s="7" t="s">
        <v>117</v>
      </c>
      <c r="B1269" s="7" t="s">
        <v>350</v>
      </c>
      <c r="C1269" s="12" t="s">
        <v>180</v>
      </c>
      <c r="D1269" s="12"/>
      <c r="E1269" s="12" t="s">
        <v>1960</v>
      </c>
      <c r="F1269" s="12"/>
      <c r="G1269" s="8"/>
      <c r="H1269" s="7" t="s">
        <v>799</v>
      </c>
      <c r="I1269" s="19" t="str">
        <f t="shared" si="133"/>
        <v>algae_pi_BCG_att6</v>
      </c>
      <c r="J1269" s="7"/>
      <c r="K1269" s="1" t="str">
        <f t="shared" si="135"/>
        <v>unclassified_algae</v>
      </c>
      <c r="L1269" s="1" t="s">
        <v>1565</v>
      </c>
      <c r="M1269" s="7"/>
      <c r="N1269" s="1" t="b">
        <v>0</v>
      </c>
    </row>
    <row r="1270" spans="1:14" hidden="1" x14ac:dyDescent="0.25">
      <c r="A1270" s="7" t="s">
        <v>1703</v>
      </c>
      <c r="B1270" s="7" t="s">
        <v>1718</v>
      </c>
      <c r="C1270" s="12" t="s">
        <v>180</v>
      </c>
      <c r="D1270" s="12"/>
      <c r="E1270" s="12" t="s">
        <v>1960</v>
      </c>
      <c r="F1270" s="12"/>
      <c r="G1270" s="8"/>
      <c r="H1270" s="7" t="s">
        <v>799</v>
      </c>
      <c r="I1270" s="19" t="str">
        <f t="shared" si="133"/>
        <v>algae_pi_BCG_att6i</v>
      </c>
      <c r="J1270" s="7"/>
      <c r="K1270" s="1" t="str">
        <f t="shared" si="135"/>
        <v>unclassified_algae</v>
      </c>
      <c r="L1270" s="1" t="s">
        <v>1565</v>
      </c>
      <c r="M1270" s="7"/>
      <c r="N1270" s="1" t="b">
        <v>0</v>
      </c>
    </row>
    <row r="1271" spans="1:14" hidden="1" x14ac:dyDescent="0.25">
      <c r="A1271" s="7" t="s">
        <v>1704</v>
      </c>
      <c r="B1271" s="7" t="s">
        <v>1717</v>
      </c>
      <c r="C1271" s="12" t="s">
        <v>180</v>
      </c>
      <c r="D1271" s="12"/>
      <c r="E1271" s="12" t="s">
        <v>1960</v>
      </c>
      <c r="F1271" s="12"/>
      <c r="G1271" s="8"/>
      <c r="H1271" s="7" t="s">
        <v>799</v>
      </c>
      <c r="I1271" s="19" t="str">
        <f t="shared" si="133"/>
        <v>algae_pi_BCG_att6m</v>
      </c>
      <c r="J1271" s="7"/>
      <c r="K1271" s="1" t="str">
        <f t="shared" si="135"/>
        <v>unclassified_algae</v>
      </c>
      <c r="L1271" s="1" t="s">
        <v>1565</v>
      </c>
      <c r="M1271" s="7"/>
      <c r="N1271" s="1" t="b">
        <v>0</v>
      </c>
    </row>
    <row r="1272" spans="1:14" hidden="1" x14ac:dyDescent="0.25">
      <c r="A1272" s="7" t="s">
        <v>1705</v>
      </c>
      <c r="B1272" s="7" t="s">
        <v>1716</v>
      </c>
      <c r="C1272" s="12" t="s">
        <v>180</v>
      </c>
      <c r="D1272" s="12"/>
      <c r="E1272" s="12" t="s">
        <v>1960</v>
      </c>
      <c r="F1272" s="12"/>
      <c r="G1272" s="8"/>
      <c r="H1272" s="7" t="s">
        <v>799</v>
      </c>
      <c r="I1272" s="19" t="str">
        <f t="shared" si="133"/>
        <v>algae_pi_BCG_att6t</v>
      </c>
      <c r="J1272" s="7"/>
      <c r="K1272" s="1" t="str">
        <f t="shared" si="135"/>
        <v>unclassified_algae</v>
      </c>
      <c r="L1272" s="1" t="s">
        <v>1565</v>
      </c>
      <c r="M1272" s="7"/>
      <c r="N1272" s="1" t="b">
        <v>0</v>
      </c>
    </row>
    <row r="1273" spans="1:14" hidden="1" x14ac:dyDescent="0.25">
      <c r="A1273" s="7" t="s">
        <v>417</v>
      </c>
      <c r="B1273" s="7" t="s">
        <v>416</v>
      </c>
      <c r="C1273" s="12" t="s">
        <v>180</v>
      </c>
      <c r="D1273" s="12"/>
      <c r="E1273" s="12" t="s">
        <v>1960</v>
      </c>
      <c r="F1273" s="12"/>
      <c r="G1273" s="8"/>
      <c r="H1273" s="7" t="s">
        <v>799</v>
      </c>
      <c r="I1273" s="19" t="str">
        <f t="shared" si="133"/>
        <v>algae_pi_BCG_attNA</v>
      </c>
      <c r="J1273" s="7"/>
      <c r="K1273" s="1" t="str">
        <f t="shared" si="135"/>
        <v>unclassified_algae</v>
      </c>
      <c r="L1273" s="1" t="s">
        <v>1565</v>
      </c>
      <c r="M1273" s="7"/>
      <c r="N1273" s="1" t="b">
        <v>0</v>
      </c>
    </row>
    <row r="1274" spans="1:14" hidden="1" x14ac:dyDescent="0.25">
      <c r="A1274" s="7" t="s">
        <v>1780</v>
      </c>
      <c r="B1274" s="7" t="s">
        <v>1782</v>
      </c>
      <c r="C1274" s="12" t="s">
        <v>1806</v>
      </c>
      <c r="D1274" s="12"/>
      <c r="E1274" s="12" t="s">
        <v>1960</v>
      </c>
      <c r="F1274" s="12"/>
      <c r="G1274" s="8"/>
      <c r="H1274" s="7" t="s">
        <v>799</v>
      </c>
      <c r="I1274" s="19" t="str">
        <f t="shared" si="133"/>
        <v>algae_pi_BCG_att4b</v>
      </c>
      <c r="J1274" s="7"/>
      <c r="K1274" s="1" t="str">
        <f t="shared" si="135"/>
        <v>unclassified_algae</v>
      </c>
      <c r="L1274" s="1" t="s">
        <v>1565</v>
      </c>
      <c r="M1274" s="7"/>
      <c r="N1274" s="1" t="b">
        <v>0</v>
      </c>
    </row>
    <row r="1275" spans="1:14" hidden="1" x14ac:dyDescent="0.25">
      <c r="A1275" s="7" t="s">
        <v>1803</v>
      </c>
      <c r="B1275" s="7" t="s">
        <v>1809</v>
      </c>
      <c r="C1275" s="12" t="s">
        <v>1806</v>
      </c>
      <c r="D1275" s="12"/>
      <c r="E1275" s="12" t="s">
        <v>1960</v>
      </c>
      <c r="F1275" s="12"/>
      <c r="G1275" s="8"/>
      <c r="H1275" s="7" t="s">
        <v>799</v>
      </c>
      <c r="I1275" s="19" t="str">
        <f t="shared" si="133"/>
        <v>algae_pi_BCG_att4m</v>
      </c>
      <c r="J1275" s="7"/>
      <c r="K1275" s="1" t="str">
        <f t="shared" si="135"/>
        <v>unclassified_algae</v>
      </c>
      <c r="L1275" s="1" t="s">
        <v>1565</v>
      </c>
      <c r="M1275" s="7"/>
      <c r="N1275" s="1" t="b">
        <v>0</v>
      </c>
    </row>
    <row r="1276" spans="1:14" hidden="1" x14ac:dyDescent="0.25">
      <c r="A1276" s="7" t="s">
        <v>1781</v>
      </c>
      <c r="B1276" s="7" t="s">
        <v>1783</v>
      </c>
      <c r="C1276" s="12" t="s">
        <v>1806</v>
      </c>
      <c r="D1276" s="12"/>
      <c r="E1276" s="12" t="s">
        <v>1960</v>
      </c>
      <c r="F1276" s="12"/>
      <c r="G1276" s="8"/>
      <c r="H1276" s="7" t="s">
        <v>799</v>
      </c>
      <c r="I1276" s="19" t="str">
        <f t="shared" si="133"/>
        <v>algae_pi_BCG_att4w</v>
      </c>
      <c r="J1276" s="7"/>
      <c r="K1276" s="1" t="str">
        <f t="shared" si="135"/>
        <v>unclassified_algae</v>
      </c>
      <c r="L1276" s="1" t="s">
        <v>1565</v>
      </c>
      <c r="M1276" s="7"/>
      <c r="N1276" s="1" t="b">
        <v>0</v>
      </c>
    </row>
    <row r="1277" spans="1:14" hidden="1" x14ac:dyDescent="0.25">
      <c r="A1277" s="7" t="s">
        <v>1814</v>
      </c>
      <c r="B1277" s="7" t="s">
        <v>1811</v>
      </c>
      <c r="C1277" s="12" t="s">
        <v>1807</v>
      </c>
      <c r="D1277" s="12"/>
      <c r="E1277" s="12" t="s">
        <v>1960</v>
      </c>
      <c r="F1277" s="12"/>
      <c r="G1277" s="8"/>
      <c r="H1277" s="7" t="s">
        <v>799</v>
      </c>
      <c r="I1277" s="19" t="str">
        <f t="shared" ref="I1277:I1307" si="136">H1277&amp;"_"&amp;TRIM(A1277)</f>
        <v>algae_pi_BCG_att1i234b</v>
      </c>
      <c r="J1277" s="7"/>
      <c r="K1277" s="1" t="str">
        <f t="shared" si="135"/>
        <v>unclassified_algae</v>
      </c>
      <c r="L1277" s="1" t="s">
        <v>1565</v>
      </c>
      <c r="M1277" s="7"/>
      <c r="N1277" s="1" t="b">
        <v>0</v>
      </c>
    </row>
    <row r="1278" spans="1:14" hidden="1" x14ac:dyDescent="0.25">
      <c r="A1278" s="7" t="s">
        <v>1817</v>
      </c>
      <c r="B1278" s="7" t="s">
        <v>1820</v>
      </c>
      <c r="C1278" s="12" t="s">
        <v>1807</v>
      </c>
      <c r="D1278" s="12"/>
      <c r="E1278" s="12" t="s">
        <v>1960</v>
      </c>
      <c r="F1278" s="12"/>
      <c r="G1278" s="8"/>
      <c r="H1278" s="7" t="s">
        <v>799</v>
      </c>
      <c r="I1278" s="19" t="str">
        <f t="shared" si="136"/>
        <v>algae_pi_BCG_att4w5</v>
      </c>
      <c r="J1278" s="7"/>
      <c r="K1278" s="1" t="str">
        <f t="shared" si="135"/>
        <v>unclassified_algae</v>
      </c>
      <c r="L1278" s="1" t="s">
        <v>1565</v>
      </c>
      <c r="M1278" s="7"/>
      <c r="N1278" s="1" t="b">
        <v>0</v>
      </c>
    </row>
    <row r="1279" spans="1:14" hidden="1" x14ac:dyDescent="0.25">
      <c r="A1279" s="7" t="s">
        <v>631</v>
      </c>
      <c r="B1279" s="7" t="s">
        <v>632</v>
      </c>
      <c r="C1279" s="12" t="s">
        <v>180</v>
      </c>
      <c r="D1279" s="12"/>
      <c r="E1279" s="12" t="s">
        <v>1960</v>
      </c>
      <c r="F1279" s="12"/>
      <c r="G1279" s="8"/>
      <c r="H1279" s="7" t="s">
        <v>799</v>
      </c>
      <c r="I1279" s="19" t="str">
        <f t="shared" si="136"/>
        <v>algae_pt_BCG_att1</v>
      </c>
      <c r="J1279" s="7"/>
      <c r="K1279" s="1" t="str">
        <f t="shared" si="135"/>
        <v>unclassified_algae</v>
      </c>
      <c r="L1279" s="1" t="s">
        <v>1565</v>
      </c>
      <c r="M1279" s="7"/>
      <c r="N1279" s="1" t="b">
        <v>0</v>
      </c>
    </row>
    <row r="1280" spans="1:14" hidden="1" x14ac:dyDescent="0.25">
      <c r="A1280" s="7" t="s">
        <v>161</v>
      </c>
      <c r="B1280" s="7" t="s">
        <v>1693</v>
      </c>
      <c r="C1280" s="12" t="s">
        <v>180</v>
      </c>
      <c r="D1280" s="12"/>
      <c r="E1280" s="12" t="s">
        <v>1960</v>
      </c>
      <c r="F1280" s="12"/>
      <c r="G1280" s="8"/>
      <c r="H1280" s="7" t="s">
        <v>799</v>
      </c>
      <c r="I1280" s="19" t="str">
        <f t="shared" si="136"/>
        <v>algae_pt_BCG_att1i</v>
      </c>
      <c r="J1280" s="7"/>
      <c r="K1280" s="1" t="str">
        <f t="shared" si="135"/>
        <v>unclassified_algae</v>
      </c>
      <c r="L1280" s="1" t="s">
        <v>1565</v>
      </c>
      <c r="M1280" s="7"/>
      <c r="N1280" s="1" t="b">
        <v>0</v>
      </c>
    </row>
    <row r="1281" spans="1:14" hidden="1" x14ac:dyDescent="0.25">
      <c r="A1281" s="7" t="s">
        <v>162</v>
      </c>
      <c r="B1281" s="7" t="s">
        <v>1695</v>
      </c>
      <c r="C1281" s="12" t="s">
        <v>180</v>
      </c>
      <c r="D1281" s="12"/>
      <c r="E1281" s="12" t="s">
        <v>1960</v>
      </c>
      <c r="F1281" s="12"/>
      <c r="G1281" s="8"/>
      <c r="H1281" s="7" t="s">
        <v>799</v>
      </c>
      <c r="I1281" s="19" t="str">
        <f t="shared" si="136"/>
        <v>algae_pt_BCG_att1m</v>
      </c>
      <c r="J1281" s="7"/>
      <c r="K1281" s="1" t="str">
        <f t="shared" si="135"/>
        <v>unclassified_algae</v>
      </c>
      <c r="L1281" s="1" t="s">
        <v>1565</v>
      </c>
      <c r="M1281" s="7"/>
      <c r="N1281" s="1" t="b">
        <v>0</v>
      </c>
    </row>
    <row r="1282" spans="1:14" hidden="1" x14ac:dyDescent="0.25">
      <c r="A1282" s="7" t="s">
        <v>119</v>
      </c>
      <c r="B1282" s="7" t="s">
        <v>352</v>
      </c>
      <c r="C1282" s="12" t="s">
        <v>180</v>
      </c>
      <c r="D1282" s="12"/>
      <c r="E1282" s="12" t="s">
        <v>1960</v>
      </c>
      <c r="F1282" s="12"/>
      <c r="G1282" s="8"/>
      <c r="H1282" s="7" t="s">
        <v>799</v>
      </c>
      <c r="I1282" s="19" t="str">
        <f t="shared" si="136"/>
        <v>algae_pt_BCG_att12</v>
      </c>
      <c r="J1282" s="7"/>
      <c r="K1282" s="1" t="str">
        <f t="shared" si="135"/>
        <v>unclassified_algae</v>
      </c>
      <c r="L1282" s="1" t="s">
        <v>1565</v>
      </c>
      <c r="M1282" s="7"/>
      <c r="N1282" s="1" t="b">
        <v>0</v>
      </c>
    </row>
    <row r="1283" spans="1:14" hidden="1" x14ac:dyDescent="0.25">
      <c r="A1283" s="7" t="s">
        <v>1836</v>
      </c>
      <c r="B1283" s="7" t="s">
        <v>1837</v>
      </c>
      <c r="C1283" s="12" t="s">
        <v>180</v>
      </c>
      <c r="D1283" s="12"/>
      <c r="E1283" s="12" t="s">
        <v>1960</v>
      </c>
      <c r="F1283" s="12"/>
      <c r="G1283" s="8"/>
      <c r="H1283" s="7" t="s">
        <v>799</v>
      </c>
      <c r="I1283" s="19" t="str">
        <f t="shared" si="136"/>
        <v>algae_pt_BCG_att1234</v>
      </c>
      <c r="J1283" s="7"/>
      <c r="K1283" s="1" t="str">
        <f t="shared" si="135"/>
        <v>unclassified_algae</v>
      </c>
      <c r="L1283" s="1" t="s">
        <v>1565</v>
      </c>
      <c r="M1283" s="7"/>
      <c r="N1283" s="1" t="b">
        <v>0</v>
      </c>
    </row>
    <row r="1284" spans="1:14" hidden="1" x14ac:dyDescent="0.25">
      <c r="A1284" s="7" t="s">
        <v>120</v>
      </c>
      <c r="B1284" s="7" t="s">
        <v>353</v>
      </c>
      <c r="C1284" s="12" t="s">
        <v>180</v>
      </c>
      <c r="D1284" s="12"/>
      <c r="E1284" s="12" t="s">
        <v>1960</v>
      </c>
      <c r="F1284" s="12"/>
      <c r="G1284" s="8"/>
      <c r="H1284" s="7" t="s">
        <v>799</v>
      </c>
      <c r="I1284" s="19" t="str">
        <f t="shared" si="136"/>
        <v>algae_pt_BCG_att1i2</v>
      </c>
      <c r="J1284" s="7"/>
      <c r="K1284" s="1" t="str">
        <f t="shared" si="135"/>
        <v>unclassified_algae</v>
      </c>
      <c r="L1284" s="1" t="s">
        <v>1565</v>
      </c>
      <c r="M1284" s="7"/>
      <c r="N1284" s="1" t="b">
        <v>0</v>
      </c>
    </row>
    <row r="1285" spans="1:14" hidden="1" x14ac:dyDescent="0.25">
      <c r="A1285" s="7" t="s">
        <v>121</v>
      </c>
      <c r="B1285" s="7" t="s">
        <v>354</v>
      </c>
      <c r="C1285" s="12" t="s">
        <v>180</v>
      </c>
      <c r="D1285" s="12"/>
      <c r="E1285" s="12" t="s">
        <v>1960</v>
      </c>
      <c r="F1285" s="12"/>
      <c r="G1285" s="8"/>
      <c r="H1285" s="7" t="s">
        <v>799</v>
      </c>
      <c r="I1285" s="19" t="str">
        <f t="shared" si="136"/>
        <v>algae_pt_BCG_att123</v>
      </c>
      <c r="J1285" s="7"/>
      <c r="K1285" s="1" t="str">
        <f t="shared" si="135"/>
        <v>unclassified_algae</v>
      </c>
      <c r="L1285" s="1" t="s">
        <v>1565</v>
      </c>
      <c r="M1285" s="7"/>
      <c r="N1285" s="1" t="b">
        <v>0</v>
      </c>
    </row>
    <row r="1286" spans="1:14" hidden="1" x14ac:dyDescent="0.25">
      <c r="A1286" s="7" t="s">
        <v>122</v>
      </c>
      <c r="B1286" s="7" t="s">
        <v>355</v>
      </c>
      <c r="C1286" s="12" t="s">
        <v>180</v>
      </c>
      <c r="D1286" s="12"/>
      <c r="E1286" s="12" t="s">
        <v>1960</v>
      </c>
      <c r="F1286" s="12"/>
      <c r="G1286" s="8"/>
      <c r="H1286" s="7" t="s">
        <v>799</v>
      </c>
      <c r="I1286" s="19" t="str">
        <f t="shared" si="136"/>
        <v>algae_pt_BCG_att1i23</v>
      </c>
      <c r="J1286" s="7"/>
      <c r="K1286" s="1" t="str">
        <f t="shared" si="135"/>
        <v>unclassified_algae</v>
      </c>
      <c r="L1286" s="1" t="s">
        <v>1565</v>
      </c>
      <c r="M1286" s="7"/>
      <c r="N1286" s="1" t="b">
        <v>0</v>
      </c>
    </row>
    <row r="1287" spans="1:14" hidden="1" x14ac:dyDescent="0.25">
      <c r="A1287" s="7" t="s">
        <v>1706</v>
      </c>
      <c r="B1287" s="7" t="s">
        <v>1715</v>
      </c>
      <c r="C1287" s="12" t="s">
        <v>180</v>
      </c>
      <c r="D1287" s="12"/>
      <c r="E1287" s="12" t="s">
        <v>1960</v>
      </c>
      <c r="F1287" s="12"/>
      <c r="G1287" s="8"/>
      <c r="H1287" s="7" t="s">
        <v>799</v>
      </c>
      <c r="I1287" s="19" t="str">
        <f t="shared" si="136"/>
        <v>algae_pt_BCG_att1i236i</v>
      </c>
      <c r="J1287" s="7"/>
      <c r="K1287" s="1" t="str">
        <f t="shared" si="135"/>
        <v>unclassified_algae</v>
      </c>
      <c r="L1287" s="1" t="s">
        <v>1565</v>
      </c>
      <c r="M1287" s="7"/>
      <c r="N1287" s="1" t="b">
        <v>0</v>
      </c>
    </row>
    <row r="1288" spans="1:14" hidden="1" x14ac:dyDescent="0.25">
      <c r="A1288" s="7" t="s">
        <v>123</v>
      </c>
      <c r="B1288" s="7" t="s">
        <v>356</v>
      </c>
      <c r="C1288" s="12" t="s">
        <v>180</v>
      </c>
      <c r="D1288" s="12"/>
      <c r="E1288" s="12" t="s">
        <v>1960</v>
      </c>
      <c r="F1288" s="12"/>
      <c r="G1288" s="8"/>
      <c r="H1288" s="7" t="s">
        <v>799</v>
      </c>
      <c r="I1288" s="19" t="str">
        <f t="shared" si="136"/>
        <v>algae_pt_BCG_att2</v>
      </c>
      <c r="J1288" s="7"/>
      <c r="K1288" s="1" t="str">
        <f t="shared" si="135"/>
        <v>unclassified_algae</v>
      </c>
      <c r="L1288" s="1" t="s">
        <v>1565</v>
      </c>
      <c r="M1288" s="7"/>
      <c r="N1288" s="1" t="b">
        <v>0</v>
      </c>
    </row>
    <row r="1289" spans="1:14" hidden="1" x14ac:dyDescent="0.25">
      <c r="A1289" s="7" t="s">
        <v>124</v>
      </c>
      <c r="B1289" s="7" t="s">
        <v>357</v>
      </c>
      <c r="C1289" s="12" t="s">
        <v>180</v>
      </c>
      <c r="D1289" s="12"/>
      <c r="E1289" s="12" t="s">
        <v>1960</v>
      </c>
      <c r="F1289" s="12"/>
      <c r="G1289" s="8"/>
      <c r="H1289" s="7" t="s">
        <v>799</v>
      </c>
      <c r="I1289" s="19" t="str">
        <f t="shared" si="136"/>
        <v>algae_pt_BCG_att23</v>
      </c>
      <c r="J1289" s="7"/>
      <c r="K1289" s="1" t="str">
        <f t="shared" si="135"/>
        <v>unclassified_algae</v>
      </c>
      <c r="L1289" s="1" t="s">
        <v>1565</v>
      </c>
      <c r="M1289" s="7"/>
      <c r="N1289" s="1" t="b">
        <v>0</v>
      </c>
    </row>
    <row r="1290" spans="1:14" hidden="1" x14ac:dyDescent="0.25">
      <c r="A1290" s="7" t="s">
        <v>125</v>
      </c>
      <c r="B1290" s="7" t="s">
        <v>358</v>
      </c>
      <c r="C1290" s="12" t="s">
        <v>180</v>
      </c>
      <c r="D1290" s="12"/>
      <c r="E1290" s="12" t="s">
        <v>1960</v>
      </c>
      <c r="F1290" s="12"/>
      <c r="G1290" s="8"/>
      <c r="H1290" s="7" t="s">
        <v>799</v>
      </c>
      <c r="I1290" s="19" t="str">
        <f t="shared" si="136"/>
        <v>algae_pt_BCG_att234</v>
      </c>
      <c r="J1290" s="7"/>
      <c r="K1290" s="1" t="str">
        <f t="shared" si="135"/>
        <v>unclassified_algae</v>
      </c>
      <c r="L1290" s="1" t="s">
        <v>1565</v>
      </c>
      <c r="M1290" s="7"/>
      <c r="N1290" s="1" t="b">
        <v>0</v>
      </c>
    </row>
    <row r="1291" spans="1:14" hidden="1" x14ac:dyDescent="0.25">
      <c r="A1291" s="7" t="s">
        <v>163</v>
      </c>
      <c r="B1291" s="7" t="s">
        <v>359</v>
      </c>
      <c r="C1291" s="12" t="s">
        <v>180</v>
      </c>
      <c r="D1291" s="12"/>
      <c r="E1291" s="12" t="s">
        <v>1960</v>
      </c>
      <c r="F1291" s="12"/>
      <c r="G1291" s="8"/>
      <c r="H1291" s="7" t="s">
        <v>799</v>
      </c>
      <c r="I1291" s="19" t="str">
        <f t="shared" si="136"/>
        <v>algae_pt_BCG_att3</v>
      </c>
      <c r="J1291" s="7"/>
      <c r="K1291" s="1" t="str">
        <f t="shared" si="135"/>
        <v>unclassified_algae</v>
      </c>
      <c r="L1291" s="1" t="s">
        <v>1565</v>
      </c>
      <c r="M1291" s="7"/>
      <c r="N1291" s="1" t="b">
        <v>0</v>
      </c>
    </row>
    <row r="1292" spans="1:14" hidden="1" x14ac:dyDescent="0.25">
      <c r="A1292" s="7" t="s">
        <v>126</v>
      </c>
      <c r="B1292" s="7" t="s">
        <v>360</v>
      </c>
      <c r="C1292" s="12" t="s">
        <v>180</v>
      </c>
      <c r="D1292" s="12"/>
      <c r="E1292" s="12" t="s">
        <v>1960</v>
      </c>
      <c r="F1292" s="12"/>
      <c r="G1292" s="8"/>
      <c r="H1292" s="7" t="s">
        <v>799</v>
      </c>
      <c r="I1292" s="19" t="str">
        <f t="shared" si="136"/>
        <v>algae_pt_BCG_att4</v>
      </c>
      <c r="J1292" s="7"/>
      <c r="K1292" s="1" t="str">
        <f t="shared" si="135"/>
        <v>unclassified_algae</v>
      </c>
      <c r="L1292" s="1" t="s">
        <v>1565</v>
      </c>
      <c r="M1292" s="7"/>
      <c r="N1292" s="1" t="b">
        <v>0</v>
      </c>
    </row>
    <row r="1293" spans="1:14" hidden="1" x14ac:dyDescent="0.25">
      <c r="A1293" s="7" t="s">
        <v>127</v>
      </c>
      <c r="B1293" s="7" t="s">
        <v>361</v>
      </c>
      <c r="C1293" s="12" t="s">
        <v>180</v>
      </c>
      <c r="D1293" s="12"/>
      <c r="E1293" s="12" t="s">
        <v>1960</v>
      </c>
      <c r="F1293" s="12"/>
      <c r="G1293" s="8"/>
      <c r="H1293" s="7" t="s">
        <v>799</v>
      </c>
      <c r="I1293" s="19" t="str">
        <f t="shared" si="136"/>
        <v>algae_pt_BCG_att45</v>
      </c>
      <c r="J1293" s="7"/>
      <c r="K1293" s="1" t="str">
        <f t="shared" si="135"/>
        <v>unclassified_algae</v>
      </c>
      <c r="L1293" s="1" t="s">
        <v>1565</v>
      </c>
      <c r="M1293" s="7"/>
      <c r="N1293" s="1" t="b">
        <v>0</v>
      </c>
    </row>
    <row r="1294" spans="1:14" hidden="1" x14ac:dyDescent="0.25">
      <c r="A1294" s="7" t="s">
        <v>1374</v>
      </c>
      <c r="B1294" s="7" t="s">
        <v>1375</v>
      </c>
      <c r="C1294" s="12" t="s">
        <v>180</v>
      </c>
      <c r="D1294" s="12"/>
      <c r="E1294" s="12" t="s">
        <v>1960</v>
      </c>
      <c r="F1294" s="12"/>
      <c r="G1294" s="8"/>
      <c r="H1294" s="7" t="s">
        <v>799</v>
      </c>
      <c r="I1294" s="19" t="str">
        <f t="shared" si="136"/>
        <v>algae_pt_BCG_att456</v>
      </c>
      <c r="J1294" s="7"/>
      <c r="K1294" s="1" t="str">
        <f t="shared" si="135"/>
        <v>unclassified_algae</v>
      </c>
      <c r="L1294" s="1" t="s">
        <v>1565</v>
      </c>
      <c r="M1294" s="7"/>
      <c r="N1294" s="1" t="b">
        <v>0</v>
      </c>
    </row>
    <row r="1295" spans="1:14" hidden="1" x14ac:dyDescent="0.25">
      <c r="A1295" s="7" t="s">
        <v>128</v>
      </c>
      <c r="B1295" s="7" t="s">
        <v>362</v>
      </c>
      <c r="C1295" s="12" t="s">
        <v>180</v>
      </c>
      <c r="D1295" s="12"/>
      <c r="E1295" s="12" t="s">
        <v>1960</v>
      </c>
      <c r="F1295" s="12"/>
      <c r="G1295" s="8"/>
      <c r="H1295" s="7" t="s">
        <v>799</v>
      </c>
      <c r="I1295" s="19" t="str">
        <f t="shared" si="136"/>
        <v>algae_pt_BCG_att5</v>
      </c>
      <c r="J1295" s="7"/>
      <c r="K1295" s="1" t="str">
        <f t="shared" si="135"/>
        <v>unclassified_algae</v>
      </c>
      <c r="L1295" s="1" t="s">
        <v>1565</v>
      </c>
      <c r="M1295" s="7"/>
      <c r="N1295" s="1" t="b">
        <v>0</v>
      </c>
    </row>
    <row r="1296" spans="1:14" hidden="1" x14ac:dyDescent="0.25">
      <c r="A1296" s="7" t="s">
        <v>129</v>
      </c>
      <c r="B1296" s="7" t="s">
        <v>363</v>
      </c>
      <c r="C1296" s="12" t="s">
        <v>180</v>
      </c>
      <c r="D1296" s="12"/>
      <c r="E1296" s="12" t="s">
        <v>1960</v>
      </c>
      <c r="F1296" s="12"/>
      <c r="G1296" s="8"/>
      <c r="H1296" s="7" t="s">
        <v>799</v>
      </c>
      <c r="I1296" s="19" t="str">
        <f t="shared" si="136"/>
        <v>algae_pt_BCG_att56</v>
      </c>
      <c r="J1296" s="7"/>
      <c r="K1296" s="1" t="str">
        <f t="shared" si="135"/>
        <v>unclassified_algae</v>
      </c>
      <c r="L1296" s="1" t="s">
        <v>1565</v>
      </c>
      <c r="M1296" s="7"/>
      <c r="N1296" s="1" t="b">
        <v>0</v>
      </c>
    </row>
    <row r="1297" spans="1:14" hidden="1" x14ac:dyDescent="0.25">
      <c r="A1297" s="7" t="s">
        <v>1707</v>
      </c>
      <c r="B1297" s="7" t="s">
        <v>1714</v>
      </c>
      <c r="C1297" s="12" t="s">
        <v>180</v>
      </c>
      <c r="D1297" s="12"/>
      <c r="E1297" s="12" t="s">
        <v>1960</v>
      </c>
      <c r="F1297" s="12"/>
      <c r="G1297" s="8"/>
      <c r="H1297" s="7" t="s">
        <v>799</v>
      </c>
      <c r="I1297" s="19" t="str">
        <f t="shared" si="136"/>
        <v>algae_pt_BCG_att56t</v>
      </c>
      <c r="J1297" s="7"/>
      <c r="K1297" s="1" t="str">
        <f t="shared" si="135"/>
        <v>unclassified_algae</v>
      </c>
      <c r="L1297" s="1" t="s">
        <v>1565</v>
      </c>
      <c r="M1297" s="7"/>
      <c r="N1297" s="1" t="b">
        <v>0</v>
      </c>
    </row>
    <row r="1298" spans="1:14" hidden="1" x14ac:dyDescent="0.25">
      <c r="A1298" s="7" t="s">
        <v>130</v>
      </c>
      <c r="B1298" s="7" t="s">
        <v>364</v>
      </c>
      <c r="C1298" s="12" t="s">
        <v>180</v>
      </c>
      <c r="D1298" s="12"/>
      <c r="E1298" s="12" t="s">
        <v>1960</v>
      </c>
      <c r="F1298" s="12"/>
      <c r="G1298" s="8"/>
      <c r="H1298" s="7" t="s">
        <v>799</v>
      </c>
      <c r="I1298" s="19" t="str">
        <f t="shared" si="136"/>
        <v>algae_pt_BCG_att6</v>
      </c>
      <c r="J1298" s="7"/>
      <c r="K1298" s="1" t="str">
        <f t="shared" si="135"/>
        <v>unclassified_algae</v>
      </c>
      <c r="L1298" s="1" t="s">
        <v>1565</v>
      </c>
      <c r="M1298" s="7"/>
      <c r="N1298" s="1" t="b">
        <v>0</v>
      </c>
    </row>
    <row r="1299" spans="1:14" hidden="1" x14ac:dyDescent="0.25">
      <c r="A1299" s="7" t="s">
        <v>1708</v>
      </c>
      <c r="B1299" s="7" t="s">
        <v>1711</v>
      </c>
      <c r="C1299" s="12" t="s">
        <v>180</v>
      </c>
      <c r="D1299" s="12"/>
      <c r="E1299" s="12" t="s">
        <v>1960</v>
      </c>
      <c r="F1299" s="12"/>
      <c r="G1299" s="8"/>
      <c r="H1299" s="7" t="s">
        <v>799</v>
      </c>
      <c r="I1299" s="19" t="str">
        <f t="shared" si="136"/>
        <v>algae_pt_BCG_att6i</v>
      </c>
      <c r="J1299" s="7"/>
      <c r="K1299" s="1" t="str">
        <f t="shared" si="135"/>
        <v>unclassified_algae</v>
      </c>
      <c r="L1299" s="1" t="s">
        <v>1565</v>
      </c>
      <c r="M1299" s="7"/>
      <c r="N1299" s="1" t="b">
        <v>0</v>
      </c>
    </row>
    <row r="1300" spans="1:14" hidden="1" x14ac:dyDescent="0.25">
      <c r="A1300" s="7" t="s">
        <v>1709</v>
      </c>
      <c r="B1300" s="7" t="s">
        <v>1712</v>
      </c>
      <c r="C1300" s="12" t="s">
        <v>180</v>
      </c>
      <c r="D1300" s="12"/>
      <c r="E1300" s="12" t="s">
        <v>1960</v>
      </c>
      <c r="F1300" s="12"/>
      <c r="G1300" s="8"/>
      <c r="H1300" s="7" t="s">
        <v>799</v>
      </c>
      <c r="I1300" s="19" t="str">
        <f t="shared" si="136"/>
        <v>algae_pt_BCG_att6m</v>
      </c>
      <c r="J1300" s="7"/>
      <c r="K1300" s="1" t="str">
        <f t="shared" si="135"/>
        <v>unclassified_algae</v>
      </c>
      <c r="L1300" s="1" t="s">
        <v>1565</v>
      </c>
      <c r="M1300" s="7"/>
      <c r="N1300" s="1" t="b">
        <v>0</v>
      </c>
    </row>
    <row r="1301" spans="1:14" hidden="1" x14ac:dyDescent="0.25">
      <c r="A1301" s="7" t="s">
        <v>1710</v>
      </c>
      <c r="B1301" s="7" t="s">
        <v>1713</v>
      </c>
      <c r="C1301" s="12" t="s">
        <v>180</v>
      </c>
      <c r="D1301" s="12"/>
      <c r="E1301" s="12" t="s">
        <v>1960</v>
      </c>
      <c r="F1301" s="12"/>
      <c r="G1301" s="8"/>
      <c r="H1301" s="7" t="s">
        <v>799</v>
      </c>
      <c r="I1301" s="19" t="str">
        <f t="shared" si="136"/>
        <v>algae_pt_BCG_att6t</v>
      </c>
      <c r="J1301" s="7"/>
      <c r="K1301" s="1" t="str">
        <f t="shared" si="135"/>
        <v>unclassified_algae</v>
      </c>
      <c r="L1301" s="1" t="s">
        <v>1565</v>
      </c>
      <c r="M1301" s="7"/>
      <c r="N1301" s="1" t="b">
        <v>0</v>
      </c>
    </row>
    <row r="1302" spans="1:14" hidden="1" x14ac:dyDescent="0.25">
      <c r="A1302" s="7" t="s">
        <v>414</v>
      </c>
      <c r="B1302" s="7" t="s">
        <v>415</v>
      </c>
      <c r="C1302" s="12" t="s">
        <v>180</v>
      </c>
      <c r="D1302" s="12"/>
      <c r="E1302" s="12" t="s">
        <v>1960</v>
      </c>
      <c r="F1302" s="12"/>
      <c r="G1302" s="8"/>
      <c r="H1302" s="7" t="s">
        <v>799</v>
      </c>
      <c r="I1302" s="19" t="str">
        <f t="shared" si="136"/>
        <v>algae_pt_BCG_attNA</v>
      </c>
      <c r="J1302" s="7"/>
      <c r="K1302" s="1" t="str">
        <f t="shared" si="135"/>
        <v>unclassified_algae</v>
      </c>
      <c r="L1302" s="1" t="s">
        <v>1565</v>
      </c>
      <c r="M1302" s="7"/>
      <c r="N1302" s="1" t="b">
        <v>0</v>
      </c>
    </row>
    <row r="1303" spans="1:14" hidden="1" x14ac:dyDescent="0.25">
      <c r="A1303" s="7" t="s">
        <v>1778</v>
      </c>
      <c r="B1303" s="7" t="s">
        <v>1784</v>
      </c>
      <c r="C1303" s="12" t="s">
        <v>1806</v>
      </c>
      <c r="D1303" s="12"/>
      <c r="E1303" s="12" t="s">
        <v>1960</v>
      </c>
      <c r="F1303" s="12"/>
      <c r="G1303" s="8"/>
      <c r="H1303" s="7" t="s">
        <v>799</v>
      </c>
      <c r="I1303" s="19" t="str">
        <f t="shared" si="136"/>
        <v>algae_pt_BCG_att4b</v>
      </c>
      <c r="J1303" s="7"/>
      <c r="K1303" s="1" t="str">
        <f t="shared" si="135"/>
        <v>unclassified_algae</v>
      </c>
      <c r="L1303" s="1" t="s">
        <v>1565</v>
      </c>
      <c r="M1303" s="7"/>
      <c r="N1303" s="1" t="b">
        <v>0</v>
      </c>
    </row>
    <row r="1304" spans="1:14" hidden="1" x14ac:dyDescent="0.25">
      <c r="A1304" s="7" t="s">
        <v>1804</v>
      </c>
      <c r="B1304" s="7" t="s">
        <v>1805</v>
      </c>
      <c r="C1304" s="12" t="s">
        <v>1806</v>
      </c>
      <c r="D1304" s="12"/>
      <c r="E1304" s="12" t="s">
        <v>1960</v>
      </c>
      <c r="F1304" s="12"/>
      <c r="G1304" s="8"/>
      <c r="H1304" s="7" t="s">
        <v>799</v>
      </c>
      <c r="I1304" s="19" t="str">
        <f t="shared" si="136"/>
        <v>algae_pt_BCG_att4m</v>
      </c>
      <c r="J1304" s="7"/>
      <c r="K1304" s="1" t="str">
        <f t="shared" si="135"/>
        <v>unclassified_algae</v>
      </c>
      <c r="L1304" s="1" t="s">
        <v>1565</v>
      </c>
      <c r="M1304" s="7"/>
      <c r="N1304" s="1" t="b">
        <v>0</v>
      </c>
    </row>
    <row r="1305" spans="1:14" hidden="1" x14ac:dyDescent="0.25">
      <c r="A1305" s="7" t="s">
        <v>1779</v>
      </c>
      <c r="B1305" s="7" t="s">
        <v>1785</v>
      </c>
      <c r="C1305" s="12" t="s">
        <v>1806</v>
      </c>
      <c r="D1305" s="12"/>
      <c r="E1305" s="12" t="s">
        <v>1960</v>
      </c>
      <c r="F1305" s="12"/>
      <c r="G1305" s="8"/>
      <c r="H1305" s="7" t="s">
        <v>799</v>
      </c>
      <c r="I1305" s="19" t="str">
        <f t="shared" si="136"/>
        <v>algae_pt_BCG_att4w</v>
      </c>
      <c r="J1305" s="7"/>
      <c r="K1305" s="1" t="str">
        <f t="shared" si="135"/>
        <v>unclassified_algae</v>
      </c>
      <c r="L1305" s="1" t="s">
        <v>1565</v>
      </c>
      <c r="M1305" s="7"/>
      <c r="N1305" s="1" t="b">
        <v>0</v>
      </c>
    </row>
    <row r="1306" spans="1:14" hidden="1" x14ac:dyDescent="0.25">
      <c r="A1306" s="7" t="s">
        <v>1815</v>
      </c>
      <c r="B1306" s="7" t="s">
        <v>1812</v>
      </c>
      <c r="C1306" s="12" t="s">
        <v>1807</v>
      </c>
      <c r="D1306" s="12"/>
      <c r="E1306" s="12" t="s">
        <v>1960</v>
      </c>
      <c r="F1306" s="12"/>
      <c r="G1306" s="8"/>
      <c r="H1306" s="7" t="s">
        <v>799</v>
      </c>
      <c r="I1306" s="19" t="str">
        <f t="shared" si="136"/>
        <v>algae_pt_BCG_att1i234b</v>
      </c>
      <c r="J1306" s="7"/>
      <c r="K1306" s="1" t="str">
        <f t="shared" si="135"/>
        <v>unclassified_algae</v>
      </c>
      <c r="L1306" s="1" t="s">
        <v>1565</v>
      </c>
      <c r="M1306" s="7"/>
      <c r="N1306" s="1" t="b">
        <v>0</v>
      </c>
    </row>
    <row r="1307" spans="1:14" hidden="1" x14ac:dyDescent="0.25">
      <c r="A1307" s="7" t="s">
        <v>1818</v>
      </c>
      <c r="B1307" s="7" t="s">
        <v>1819</v>
      </c>
      <c r="C1307" s="12" t="s">
        <v>1807</v>
      </c>
      <c r="D1307" s="12"/>
      <c r="E1307" s="12" t="s">
        <v>1960</v>
      </c>
      <c r="F1307" s="12"/>
      <c r="G1307" s="8"/>
      <c r="H1307" s="7" t="s">
        <v>799</v>
      </c>
      <c r="I1307" s="19" t="str">
        <f t="shared" si="136"/>
        <v>algae_pt_BCG_att4w5</v>
      </c>
      <c r="J1307" s="7"/>
      <c r="K1307" s="1" t="str">
        <f t="shared" si="135"/>
        <v>unclassified_algae</v>
      </c>
      <c r="L1307" s="1" t="s">
        <v>1565</v>
      </c>
      <c r="M1307" s="7"/>
      <c r="N1307" s="1" t="b">
        <v>0</v>
      </c>
    </row>
    <row r="1308" spans="1:14" hidden="1" x14ac:dyDescent="0.25">
      <c r="A1308" s="7" t="s">
        <v>2400</v>
      </c>
      <c r="B1308" s="8" t="s">
        <v>2401</v>
      </c>
      <c r="C1308" s="13" t="s">
        <v>173</v>
      </c>
      <c r="D1308" s="54"/>
      <c r="E1308" s="13"/>
      <c r="F1308" s="13"/>
      <c r="G1308" s="8" t="s">
        <v>2402</v>
      </c>
      <c r="H1308" s="1" t="s">
        <v>652</v>
      </c>
      <c r="I1308" s="19" t="s">
        <v>1947</v>
      </c>
      <c r="J1308" s="7">
        <v>1</v>
      </c>
      <c r="K1308" s="1" t="s">
        <v>1667</v>
      </c>
      <c r="L1308" s="1" t="s">
        <v>1583</v>
      </c>
      <c r="M1308" s="1"/>
      <c r="N1308" s="7" t="b">
        <v>1</v>
      </c>
    </row>
    <row r="1309" spans="1:14" hidden="1" x14ac:dyDescent="0.25">
      <c r="A1309" s="7" t="s">
        <v>2415</v>
      </c>
      <c r="B1309" s="7" t="s">
        <v>2416</v>
      </c>
      <c r="C1309" s="12" t="s">
        <v>180</v>
      </c>
      <c r="D1309" s="12"/>
      <c r="E1309" s="12" t="s">
        <v>1960</v>
      </c>
      <c r="F1309" s="12"/>
      <c r="G1309" s="8" t="s">
        <v>2296</v>
      </c>
      <c r="H1309" s="7" t="s">
        <v>652</v>
      </c>
      <c r="I1309" s="19" t="str">
        <f t="shared" ref="I1309" si="137">H1309&amp;"_"&amp;TRIM(A1309)</f>
        <v>bugs_pi_dom02_BCG_att456</v>
      </c>
      <c r="J1309" s="7">
        <f t="shared" ref="J1309" si="138">COUNTIF($I$6:$I$1194,I1309)</f>
        <v>0</v>
      </c>
      <c r="K1309" s="1" t="str">
        <f t="shared" ref="K1309" si="139">"unclassified_"&amp;H1309</f>
        <v>unclassified_bugs</v>
      </c>
      <c r="L1309" s="1" t="s">
        <v>2355</v>
      </c>
      <c r="M1309" s="7"/>
      <c r="N1309" s="1" t="b">
        <v>0</v>
      </c>
    </row>
    <row r="1310" spans="1:14" hidden="1" x14ac:dyDescent="0.25">
      <c r="A1310" s="7" t="s">
        <v>2405</v>
      </c>
      <c r="B1310" s="7" t="s">
        <v>2406</v>
      </c>
      <c r="C1310" s="12" t="s">
        <v>180</v>
      </c>
      <c r="D1310" s="12"/>
      <c r="E1310" s="12" t="s">
        <v>1960</v>
      </c>
      <c r="F1310" s="12"/>
      <c r="G1310" s="8" t="s">
        <v>2296</v>
      </c>
      <c r="H1310" s="7" t="s">
        <v>652</v>
      </c>
      <c r="I1310" s="19" t="str">
        <f t="shared" ref="I1310:I1314" si="140">H1310&amp;"_"&amp;TRIM(A1310)</f>
        <v>bugs_pi_dom02_BCG_att456m6t</v>
      </c>
      <c r="J1310" s="7">
        <f t="shared" ref="J1310" si="141">COUNTIF($I$6:$I$1194,I1310)</f>
        <v>0</v>
      </c>
      <c r="K1310" s="1" t="str">
        <f t="shared" ref="K1310" si="142">"unclassified_"&amp;H1310</f>
        <v>unclassified_bugs</v>
      </c>
      <c r="L1310" s="1" t="s">
        <v>2355</v>
      </c>
      <c r="M1310" s="7"/>
      <c r="N1310" s="1" t="b">
        <v>0</v>
      </c>
    </row>
    <row r="1311" spans="1:14" hidden="1" x14ac:dyDescent="0.25">
      <c r="A1311" s="7" t="s">
        <v>2407</v>
      </c>
      <c r="B1311" s="8" t="s">
        <v>2410</v>
      </c>
      <c r="C1311" s="16" t="s">
        <v>185</v>
      </c>
      <c r="D1311" s="55"/>
      <c r="E1311" s="13"/>
      <c r="F1311" s="13"/>
      <c r="G1311" s="8"/>
      <c r="H1311" s="1" t="s">
        <v>652</v>
      </c>
      <c r="I1311" s="19" t="str">
        <f t="shared" si="140"/>
        <v>bugs_nt_NonInsTrombJuga_BCG_att456m6t</v>
      </c>
      <c r="J1311" s="7">
        <f t="shared" ref="J1311:J1313" si="143">COUNTIF($I$6:$I$1123,I1311)</f>
        <v>0</v>
      </c>
      <c r="K1311" s="1" t="s">
        <v>1565</v>
      </c>
      <c r="L1311" s="1" t="s">
        <v>1583</v>
      </c>
      <c r="M1311" s="1"/>
      <c r="N1311" s="7" t="b">
        <v>1</v>
      </c>
    </row>
    <row r="1312" spans="1:14" hidden="1" x14ac:dyDescent="0.25">
      <c r="A1312" s="7" t="s">
        <v>2408</v>
      </c>
      <c r="B1312" s="8" t="s">
        <v>2411</v>
      </c>
      <c r="C1312" s="16" t="s">
        <v>185</v>
      </c>
      <c r="D1312" s="55"/>
      <c r="E1312" s="13"/>
      <c r="F1312" s="13"/>
      <c r="G1312" s="8"/>
      <c r="H1312" s="1" t="s">
        <v>652</v>
      </c>
      <c r="I1312" s="19" t="str">
        <f t="shared" si="140"/>
        <v>bugs_pi_NonInsTrombJuga_BCG_att456m6t</v>
      </c>
      <c r="J1312" s="7">
        <f t="shared" si="143"/>
        <v>0</v>
      </c>
      <c r="K1312" s="1" t="s">
        <v>1565</v>
      </c>
      <c r="L1312" s="1" t="s">
        <v>1583</v>
      </c>
      <c r="M1312" s="1"/>
      <c r="N1312" s="7" t="b">
        <v>0</v>
      </c>
    </row>
    <row r="1313" spans="1:14" hidden="1" x14ac:dyDescent="0.25">
      <c r="A1313" s="7" t="s">
        <v>2409</v>
      </c>
      <c r="B1313" s="8" t="s">
        <v>2412</v>
      </c>
      <c r="C1313" s="16" t="s">
        <v>185</v>
      </c>
      <c r="D1313" s="55"/>
      <c r="E1313" s="13"/>
      <c r="F1313" s="13"/>
      <c r="G1313" s="8"/>
      <c r="H1313" s="1" t="s">
        <v>652</v>
      </c>
      <c r="I1313" s="19" t="str">
        <f t="shared" si="140"/>
        <v>bugs_pt_NonInsTrombJuga_BCG_att456m6t</v>
      </c>
      <c r="J1313" s="7">
        <f t="shared" si="143"/>
        <v>0</v>
      </c>
      <c r="K1313" s="1" t="s">
        <v>1565</v>
      </c>
      <c r="L1313" s="1" t="s">
        <v>1583</v>
      </c>
      <c r="M1313" s="1"/>
      <c r="N1313" s="7" t="b">
        <v>1</v>
      </c>
    </row>
    <row r="1314" spans="1:14" x14ac:dyDescent="0.25">
      <c r="A1314" s="7" t="s">
        <v>2420</v>
      </c>
      <c r="B1314" s="7" t="s">
        <v>2421</v>
      </c>
      <c r="C1314" s="12" t="s">
        <v>180</v>
      </c>
      <c r="D1314" s="12"/>
      <c r="E1314" s="12" t="s">
        <v>1960</v>
      </c>
      <c r="F1314" s="12"/>
      <c r="G1314" s="8" t="s">
        <v>2329</v>
      </c>
      <c r="H1314" s="7" t="s">
        <v>652</v>
      </c>
      <c r="I1314" s="19" t="str">
        <f t="shared" si="140"/>
        <v>bugs_pi_dom02_BCG_att456t</v>
      </c>
      <c r="J1314" s="7">
        <f t="shared" ref="J1314" si="144">COUNTIF($I$6:$I$1194,I1314)</f>
        <v>0</v>
      </c>
      <c r="K1314" s="1" t="str">
        <f t="shared" ref="K1314" si="145">"unclassified_"&amp;H1314</f>
        <v>unclassified_bugs</v>
      </c>
      <c r="L1314" s="1" t="s">
        <v>2355</v>
      </c>
      <c r="M1314" s="7"/>
      <c r="N1314" s="1" t="b">
        <v>0</v>
      </c>
    </row>
    <row r="2023" spans="1:1" x14ac:dyDescent="0.25">
      <c r="A2023" s="52"/>
    </row>
  </sheetData>
  <autoFilter ref="A5:N1313" xr:uid="{00000000-0001-0000-0000-000000000000}">
    <filterColumn colId="0">
      <filters>
        <filter val="pi_dom01_BCG_att456"/>
        <filter val="pi_dom01_BCG_att456m6t"/>
      </filters>
    </filterColumn>
  </autoFilter>
  <sortState xmlns:xlrd2="http://schemas.microsoft.com/office/spreadsheetml/2017/richdata2" ref="A1004:A1011">
    <sortCondition ref="A1004:A1011"/>
  </sortState>
  <phoneticPr fontId="18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2026-07-07T17:22:25Z</dcterms:modified>
</cp:coreProperties>
</file>